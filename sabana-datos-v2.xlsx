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jas\Downloads\"/>
    </mc:Choice>
  </mc:AlternateContent>
  <xr:revisionPtr revIDLastSave="0" documentId="13_ncr:1_{415499B6-82A8-4AC0-B3BB-4BA5554B3C8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 Ejecutivo" sheetId="1" r:id="rId1"/>
    <sheet name="Sábana de Da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08" i="2" l="1"/>
  <c r="M605" i="2"/>
  <c r="L605" i="2"/>
  <c r="K605" i="2"/>
  <c r="G605" i="2"/>
  <c r="F605" i="2"/>
  <c r="J604" i="2"/>
  <c r="I604" i="2"/>
  <c r="H604" i="2"/>
  <c r="J603" i="2"/>
  <c r="I603" i="2"/>
  <c r="H603" i="2"/>
  <c r="I602" i="2"/>
  <c r="H602" i="2"/>
  <c r="J602" i="2" s="1"/>
  <c r="J601" i="2"/>
  <c r="I601" i="2"/>
  <c r="H601" i="2"/>
  <c r="I600" i="2"/>
  <c r="H600" i="2"/>
  <c r="J600" i="2" s="1"/>
  <c r="J599" i="2"/>
  <c r="I599" i="2"/>
  <c r="H599" i="2"/>
  <c r="J598" i="2"/>
  <c r="I598" i="2"/>
  <c r="H598" i="2"/>
  <c r="J597" i="2"/>
  <c r="I597" i="2"/>
  <c r="H597" i="2"/>
  <c r="J596" i="2"/>
  <c r="I596" i="2"/>
  <c r="H596" i="2"/>
  <c r="J595" i="2"/>
  <c r="I595" i="2"/>
  <c r="H595" i="2"/>
  <c r="I594" i="2"/>
  <c r="H594" i="2"/>
  <c r="J594" i="2" s="1"/>
  <c r="J593" i="2"/>
  <c r="I593" i="2"/>
  <c r="H593" i="2"/>
  <c r="J592" i="2"/>
  <c r="I592" i="2"/>
  <c r="H592" i="2"/>
  <c r="J591" i="2"/>
  <c r="I591" i="2"/>
  <c r="H591" i="2"/>
  <c r="I590" i="2"/>
  <c r="H590" i="2"/>
  <c r="J590" i="2" s="1"/>
  <c r="J589" i="2"/>
  <c r="I589" i="2"/>
  <c r="H589" i="2"/>
  <c r="J588" i="2"/>
  <c r="I588" i="2"/>
  <c r="H588" i="2"/>
  <c r="J587" i="2"/>
  <c r="I587" i="2"/>
  <c r="H587" i="2"/>
  <c r="I586" i="2"/>
  <c r="H586" i="2"/>
  <c r="J586" i="2" s="1"/>
  <c r="J585" i="2"/>
  <c r="I585" i="2"/>
  <c r="H585" i="2"/>
  <c r="I584" i="2"/>
  <c r="H584" i="2"/>
  <c r="J584" i="2" s="1"/>
  <c r="J583" i="2"/>
  <c r="I583" i="2"/>
  <c r="H583" i="2"/>
  <c r="J582" i="2"/>
  <c r="I582" i="2"/>
  <c r="H582" i="2"/>
  <c r="J581" i="2"/>
  <c r="I581" i="2"/>
  <c r="H581" i="2"/>
  <c r="J580" i="2"/>
  <c r="I580" i="2"/>
  <c r="H580" i="2"/>
  <c r="J579" i="2"/>
  <c r="I579" i="2"/>
  <c r="H579" i="2"/>
  <c r="I578" i="2"/>
  <c r="H578" i="2"/>
  <c r="J578" i="2" s="1"/>
  <c r="J577" i="2"/>
  <c r="I577" i="2"/>
  <c r="H577" i="2"/>
  <c r="J576" i="2"/>
  <c r="I576" i="2"/>
  <c r="H576" i="2"/>
  <c r="J575" i="2"/>
  <c r="I575" i="2"/>
  <c r="H575" i="2"/>
  <c r="I574" i="2"/>
  <c r="H574" i="2"/>
  <c r="J574" i="2" s="1"/>
  <c r="J573" i="2"/>
  <c r="I573" i="2"/>
  <c r="H573" i="2"/>
  <c r="J572" i="2"/>
  <c r="I572" i="2"/>
  <c r="H572" i="2"/>
  <c r="J571" i="2"/>
  <c r="I571" i="2"/>
  <c r="H571" i="2"/>
  <c r="I570" i="2"/>
  <c r="H570" i="2"/>
  <c r="J570" i="2" s="1"/>
  <c r="J569" i="2"/>
  <c r="I569" i="2"/>
  <c r="H569" i="2"/>
  <c r="I568" i="2"/>
  <c r="H568" i="2"/>
  <c r="J568" i="2" s="1"/>
  <c r="J567" i="2"/>
  <c r="I567" i="2"/>
  <c r="H567" i="2"/>
  <c r="J566" i="2"/>
  <c r="I566" i="2"/>
  <c r="H566" i="2"/>
  <c r="J565" i="2"/>
  <c r="I565" i="2"/>
  <c r="H565" i="2"/>
  <c r="J564" i="2"/>
  <c r="I564" i="2"/>
  <c r="H564" i="2"/>
  <c r="J563" i="2"/>
  <c r="I563" i="2"/>
  <c r="H563" i="2"/>
  <c r="I562" i="2"/>
  <c r="H562" i="2"/>
  <c r="J562" i="2" s="1"/>
  <c r="J561" i="2"/>
  <c r="I561" i="2"/>
  <c r="H561" i="2"/>
  <c r="J560" i="2"/>
  <c r="I560" i="2"/>
  <c r="H560" i="2"/>
  <c r="J559" i="2"/>
  <c r="I559" i="2"/>
  <c r="H559" i="2"/>
  <c r="I558" i="2"/>
  <c r="H558" i="2"/>
  <c r="J558" i="2" s="1"/>
  <c r="J557" i="2"/>
  <c r="I557" i="2"/>
  <c r="H557" i="2"/>
  <c r="J556" i="2"/>
  <c r="I556" i="2"/>
  <c r="H556" i="2"/>
  <c r="J555" i="2"/>
  <c r="I555" i="2"/>
  <c r="H555" i="2"/>
  <c r="I554" i="2"/>
  <c r="H554" i="2"/>
  <c r="J554" i="2" s="1"/>
  <c r="J553" i="2"/>
  <c r="I553" i="2"/>
  <c r="H553" i="2"/>
  <c r="I552" i="2"/>
  <c r="H552" i="2"/>
  <c r="J552" i="2" s="1"/>
  <c r="J551" i="2"/>
  <c r="I551" i="2"/>
  <c r="H551" i="2"/>
  <c r="J550" i="2"/>
  <c r="I550" i="2"/>
  <c r="H550" i="2"/>
  <c r="J549" i="2"/>
  <c r="I549" i="2"/>
  <c r="H549" i="2"/>
  <c r="J548" i="2"/>
  <c r="I548" i="2"/>
  <c r="H548" i="2"/>
  <c r="J547" i="2"/>
  <c r="I547" i="2"/>
  <c r="H547" i="2"/>
  <c r="I546" i="2"/>
  <c r="H546" i="2"/>
  <c r="J546" i="2" s="1"/>
  <c r="J545" i="2"/>
  <c r="I545" i="2"/>
  <c r="H545" i="2"/>
  <c r="J544" i="2"/>
  <c r="I544" i="2"/>
  <c r="H544" i="2"/>
  <c r="J543" i="2"/>
  <c r="I543" i="2"/>
  <c r="H543" i="2"/>
  <c r="I542" i="2"/>
  <c r="H542" i="2"/>
  <c r="J542" i="2" s="1"/>
  <c r="J541" i="2"/>
  <c r="I541" i="2"/>
  <c r="H541" i="2"/>
  <c r="J540" i="2"/>
  <c r="I540" i="2"/>
  <c r="H540" i="2"/>
  <c r="J539" i="2"/>
  <c r="I539" i="2"/>
  <c r="H539" i="2"/>
  <c r="I538" i="2"/>
  <c r="H538" i="2"/>
  <c r="J538" i="2" s="1"/>
  <c r="J537" i="2"/>
  <c r="I537" i="2"/>
  <c r="H537" i="2"/>
  <c r="I536" i="2"/>
  <c r="H536" i="2"/>
  <c r="J536" i="2" s="1"/>
  <c r="J535" i="2"/>
  <c r="I535" i="2"/>
  <c r="H535" i="2"/>
  <c r="J534" i="2"/>
  <c r="I534" i="2"/>
  <c r="H534" i="2"/>
  <c r="J533" i="2"/>
  <c r="I533" i="2"/>
  <c r="H533" i="2"/>
  <c r="J532" i="2"/>
  <c r="I532" i="2"/>
  <c r="H532" i="2"/>
  <c r="J531" i="2"/>
  <c r="I531" i="2"/>
  <c r="H531" i="2"/>
  <c r="J530" i="2"/>
  <c r="I530" i="2"/>
  <c r="H530" i="2"/>
  <c r="J529" i="2"/>
  <c r="I529" i="2"/>
  <c r="H529" i="2"/>
  <c r="I528" i="2"/>
  <c r="H528" i="2"/>
  <c r="J528" i="2" s="1"/>
  <c r="J527" i="2"/>
  <c r="I527" i="2"/>
  <c r="H527" i="2"/>
  <c r="I526" i="2"/>
  <c r="H526" i="2"/>
  <c r="J526" i="2" s="1"/>
  <c r="J525" i="2"/>
  <c r="I525" i="2"/>
  <c r="H525" i="2"/>
  <c r="I524" i="2"/>
  <c r="H524" i="2"/>
  <c r="J524" i="2" s="1"/>
  <c r="J523" i="2"/>
  <c r="I523" i="2"/>
  <c r="H523" i="2"/>
  <c r="I522" i="2"/>
  <c r="H522" i="2"/>
  <c r="J522" i="2" s="1"/>
  <c r="J521" i="2"/>
  <c r="I521" i="2"/>
  <c r="H521" i="2"/>
  <c r="I520" i="2"/>
  <c r="H520" i="2"/>
  <c r="J520" i="2" s="1"/>
  <c r="J519" i="2"/>
  <c r="I519" i="2"/>
  <c r="H519" i="2"/>
  <c r="J518" i="2"/>
  <c r="I518" i="2"/>
  <c r="H518" i="2"/>
  <c r="J517" i="2"/>
  <c r="I517" i="2"/>
  <c r="H517" i="2"/>
  <c r="J516" i="2"/>
  <c r="I516" i="2"/>
  <c r="H516" i="2"/>
  <c r="J515" i="2"/>
  <c r="I515" i="2"/>
  <c r="H515" i="2"/>
  <c r="I514" i="2"/>
  <c r="H514" i="2"/>
  <c r="J514" i="2" s="1"/>
  <c r="J513" i="2"/>
  <c r="I513" i="2"/>
  <c r="H513" i="2"/>
  <c r="J512" i="2"/>
  <c r="I512" i="2"/>
  <c r="H512" i="2"/>
  <c r="J511" i="2"/>
  <c r="I511" i="2"/>
  <c r="H511" i="2"/>
  <c r="I510" i="2"/>
  <c r="H510" i="2"/>
  <c r="J510" i="2" s="1"/>
  <c r="J509" i="2"/>
  <c r="I509" i="2"/>
  <c r="H509" i="2"/>
  <c r="I508" i="2"/>
  <c r="H508" i="2"/>
  <c r="J508" i="2" s="1"/>
  <c r="J507" i="2"/>
  <c r="I507" i="2"/>
  <c r="H507" i="2"/>
  <c r="I506" i="2"/>
  <c r="H506" i="2"/>
  <c r="J506" i="2" s="1"/>
  <c r="J505" i="2"/>
  <c r="I505" i="2"/>
  <c r="H505" i="2"/>
  <c r="I504" i="2"/>
  <c r="H504" i="2"/>
  <c r="J504" i="2" s="1"/>
  <c r="J503" i="2"/>
  <c r="I503" i="2"/>
  <c r="H503" i="2"/>
  <c r="J502" i="2"/>
  <c r="I502" i="2"/>
  <c r="H502" i="2"/>
  <c r="J501" i="2"/>
  <c r="I501" i="2"/>
  <c r="H501" i="2"/>
  <c r="J500" i="2"/>
  <c r="I500" i="2"/>
  <c r="H500" i="2"/>
  <c r="J499" i="2"/>
  <c r="I499" i="2"/>
  <c r="H499" i="2"/>
  <c r="I498" i="2"/>
  <c r="H498" i="2"/>
  <c r="J498" i="2" s="1"/>
  <c r="J497" i="2"/>
  <c r="I497" i="2"/>
  <c r="H497" i="2"/>
  <c r="I496" i="2"/>
  <c r="H496" i="2"/>
  <c r="J496" i="2" s="1"/>
  <c r="J495" i="2"/>
  <c r="I495" i="2"/>
  <c r="H495" i="2"/>
  <c r="I494" i="2"/>
  <c r="H494" i="2"/>
  <c r="J494" i="2" s="1"/>
  <c r="J493" i="2"/>
  <c r="I493" i="2"/>
  <c r="H493" i="2"/>
  <c r="I492" i="2"/>
  <c r="H492" i="2"/>
  <c r="J492" i="2" s="1"/>
  <c r="J491" i="2"/>
  <c r="I491" i="2"/>
  <c r="H491" i="2"/>
  <c r="I490" i="2"/>
  <c r="H490" i="2"/>
  <c r="J490" i="2" s="1"/>
  <c r="J489" i="2"/>
  <c r="I489" i="2"/>
  <c r="H489" i="2"/>
  <c r="I488" i="2"/>
  <c r="H488" i="2"/>
  <c r="J488" i="2" s="1"/>
  <c r="J487" i="2"/>
  <c r="I487" i="2"/>
  <c r="H487" i="2"/>
  <c r="J486" i="2"/>
  <c r="I486" i="2"/>
  <c r="H486" i="2"/>
  <c r="J485" i="2"/>
  <c r="I485" i="2"/>
  <c r="H485" i="2"/>
  <c r="J484" i="2"/>
  <c r="I484" i="2"/>
  <c r="H484" i="2"/>
  <c r="J483" i="2"/>
  <c r="I483" i="2"/>
  <c r="H483" i="2"/>
  <c r="I482" i="2"/>
  <c r="H482" i="2"/>
  <c r="J482" i="2" s="1"/>
  <c r="J481" i="2"/>
  <c r="I481" i="2"/>
  <c r="H481" i="2"/>
  <c r="I480" i="2"/>
  <c r="H480" i="2"/>
  <c r="J480" i="2" s="1"/>
  <c r="J479" i="2"/>
  <c r="I479" i="2"/>
  <c r="H479" i="2"/>
  <c r="I478" i="2"/>
  <c r="H478" i="2"/>
  <c r="J478" i="2" s="1"/>
  <c r="J477" i="2"/>
  <c r="I477" i="2"/>
  <c r="H477" i="2"/>
  <c r="J476" i="2"/>
  <c r="I476" i="2"/>
  <c r="H476" i="2"/>
  <c r="J475" i="2"/>
  <c r="I475" i="2"/>
  <c r="H475" i="2"/>
  <c r="I474" i="2"/>
  <c r="H474" i="2"/>
  <c r="J474" i="2" s="1"/>
  <c r="J473" i="2"/>
  <c r="I473" i="2"/>
  <c r="H473" i="2"/>
  <c r="I472" i="2"/>
  <c r="H472" i="2"/>
  <c r="J472" i="2" s="1"/>
  <c r="J471" i="2"/>
  <c r="I471" i="2"/>
  <c r="H471" i="2"/>
  <c r="J470" i="2"/>
  <c r="I470" i="2"/>
  <c r="H470" i="2"/>
  <c r="J469" i="2"/>
  <c r="I469" i="2"/>
  <c r="H469" i="2"/>
  <c r="J468" i="2"/>
  <c r="I468" i="2"/>
  <c r="H468" i="2"/>
  <c r="J467" i="2"/>
  <c r="I467" i="2"/>
  <c r="H467" i="2"/>
  <c r="J466" i="2"/>
  <c r="I466" i="2"/>
  <c r="H466" i="2"/>
  <c r="J465" i="2"/>
  <c r="I465" i="2"/>
  <c r="H465" i="2"/>
  <c r="I464" i="2"/>
  <c r="H464" i="2"/>
  <c r="J464" i="2" s="1"/>
  <c r="J463" i="2"/>
  <c r="I463" i="2"/>
  <c r="H463" i="2"/>
  <c r="I462" i="2"/>
  <c r="H462" i="2"/>
  <c r="J462" i="2" s="1"/>
  <c r="J461" i="2"/>
  <c r="I461" i="2"/>
  <c r="H461" i="2"/>
  <c r="I460" i="2"/>
  <c r="H460" i="2"/>
  <c r="J460" i="2" s="1"/>
  <c r="J459" i="2"/>
  <c r="I459" i="2"/>
  <c r="H459" i="2"/>
  <c r="I458" i="2"/>
  <c r="H458" i="2"/>
  <c r="J458" i="2" s="1"/>
  <c r="J457" i="2"/>
  <c r="I457" i="2"/>
  <c r="H457" i="2"/>
  <c r="I456" i="2"/>
  <c r="H456" i="2"/>
  <c r="J456" i="2" s="1"/>
  <c r="J455" i="2"/>
  <c r="I455" i="2"/>
  <c r="H455" i="2"/>
  <c r="J454" i="2"/>
  <c r="I454" i="2"/>
  <c r="H454" i="2"/>
  <c r="J453" i="2"/>
  <c r="I453" i="2"/>
  <c r="H453" i="2"/>
  <c r="J452" i="2"/>
  <c r="I452" i="2"/>
  <c r="H452" i="2"/>
  <c r="J451" i="2"/>
  <c r="I451" i="2"/>
  <c r="H451" i="2"/>
  <c r="I450" i="2"/>
  <c r="H450" i="2"/>
  <c r="J450" i="2" s="1"/>
  <c r="J449" i="2"/>
  <c r="I449" i="2"/>
  <c r="H449" i="2"/>
  <c r="J448" i="2"/>
  <c r="I448" i="2"/>
  <c r="H448" i="2"/>
  <c r="J447" i="2"/>
  <c r="I447" i="2"/>
  <c r="H447" i="2"/>
  <c r="I446" i="2"/>
  <c r="H446" i="2"/>
  <c r="J446" i="2" s="1"/>
  <c r="J445" i="2"/>
  <c r="I445" i="2"/>
  <c r="H445" i="2"/>
  <c r="I444" i="2"/>
  <c r="H444" i="2"/>
  <c r="J444" i="2" s="1"/>
  <c r="J443" i="2"/>
  <c r="I443" i="2"/>
  <c r="H443" i="2"/>
  <c r="I442" i="2"/>
  <c r="H442" i="2"/>
  <c r="J442" i="2" s="1"/>
  <c r="J441" i="2"/>
  <c r="I441" i="2"/>
  <c r="H441" i="2"/>
  <c r="I440" i="2"/>
  <c r="H440" i="2"/>
  <c r="J440" i="2" s="1"/>
  <c r="J439" i="2"/>
  <c r="I439" i="2"/>
  <c r="H439" i="2"/>
  <c r="J438" i="2"/>
  <c r="I438" i="2"/>
  <c r="H438" i="2"/>
  <c r="J437" i="2"/>
  <c r="I437" i="2"/>
  <c r="H437" i="2"/>
  <c r="J436" i="2"/>
  <c r="I436" i="2"/>
  <c r="H436" i="2"/>
  <c r="J435" i="2"/>
  <c r="I435" i="2"/>
  <c r="H435" i="2"/>
  <c r="J434" i="2"/>
  <c r="I434" i="2"/>
  <c r="H434" i="2"/>
  <c r="J433" i="2"/>
  <c r="I433" i="2"/>
  <c r="H433" i="2"/>
  <c r="J432" i="2"/>
  <c r="I432" i="2"/>
  <c r="H432" i="2"/>
  <c r="J431" i="2"/>
  <c r="I431" i="2"/>
  <c r="H431" i="2"/>
  <c r="J430" i="2"/>
  <c r="I430" i="2"/>
  <c r="H430" i="2"/>
  <c r="J429" i="2"/>
  <c r="I429" i="2"/>
  <c r="H429" i="2"/>
  <c r="J428" i="2"/>
  <c r="I428" i="2"/>
  <c r="H428" i="2"/>
  <c r="J427" i="2"/>
  <c r="I427" i="2"/>
  <c r="H427" i="2"/>
  <c r="J426" i="2"/>
  <c r="I426" i="2"/>
  <c r="H426" i="2"/>
  <c r="J425" i="2"/>
  <c r="I425" i="2"/>
  <c r="H425" i="2"/>
  <c r="J424" i="2"/>
  <c r="I424" i="2"/>
  <c r="H424" i="2"/>
  <c r="J423" i="2"/>
  <c r="I423" i="2"/>
  <c r="H423" i="2"/>
  <c r="J422" i="2"/>
  <c r="I422" i="2"/>
  <c r="H422" i="2"/>
  <c r="J421" i="2"/>
  <c r="I421" i="2"/>
  <c r="H421" i="2"/>
  <c r="J420" i="2"/>
  <c r="I420" i="2"/>
  <c r="H420" i="2"/>
  <c r="J419" i="2"/>
  <c r="I419" i="2"/>
  <c r="H419" i="2"/>
  <c r="J418" i="2"/>
  <c r="I418" i="2"/>
  <c r="H418" i="2"/>
  <c r="J417" i="2"/>
  <c r="I417" i="2"/>
  <c r="H417" i="2"/>
  <c r="J416" i="2"/>
  <c r="I416" i="2"/>
  <c r="H416" i="2"/>
  <c r="J415" i="2"/>
  <c r="I415" i="2"/>
  <c r="H415" i="2"/>
  <c r="J414" i="2"/>
  <c r="I414" i="2"/>
  <c r="H414" i="2"/>
  <c r="J413" i="2"/>
  <c r="I413" i="2"/>
  <c r="H413" i="2"/>
  <c r="J412" i="2"/>
  <c r="I412" i="2"/>
  <c r="H412" i="2"/>
  <c r="J411" i="2"/>
  <c r="I411" i="2"/>
  <c r="H411" i="2"/>
  <c r="J410" i="2"/>
  <c r="I410" i="2"/>
  <c r="H410" i="2"/>
  <c r="J409" i="2"/>
  <c r="I409" i="2"/>
  <c r="H409" i="2"/>
  <c r="J408" i="2"/>
  <c r="I408" i="2"/>
  <c r="H408" i="2"/>
  <c r="J407" i="2"/>
  <c r="I407" i="2"/>
  <c r="H407" i="2"/>
  <c r="J406" i="2"/>
  <c r="I406" i="2"/>
  <c r="H406" i="2"/>
  <c r="J405" i="2"/>
  <c r="I405" i="2"/>
  <c r="H405" i="2"/>
  <c r="J404" i="2"/>
  <c r="I404" i="2"/>
  <c r="H404" i="2"/>
  <c r="J403" i="2"/>
  <c r="I403" i="2"/>
  <c r="H403" i="2"/>
  <c r="J402" i="2"/>
  <c r="I402" i="2"/>
  <c r="H402" i="2"/>
  <c r="J401" i="2"/>
  <c r="I401" i="2"/>
  <c r="H401" i="2"/>
  <c r="J400" i="2"/>
  <c r="I400" i="2"/>
  <c r="H400" i="2"/>
  <c r="J399" i="2"/>
  <c r="I399" i="2"/>
  <c r="H399" i="2"/>
  <c r="J398" i="2"/>
  <c r="I398" i="2"/>
  <c r="H398" i="2"/>
  <c r="J397" i="2"/>
  <c r="I397" i="2"/>
  <c r="H397" i="2"/>
  <c r="J396" i="2"/>
  <c r="I396" i="2"/>
  <c r="H396" i="2"/>
  <c r="J395" i="2"/>
  <c r="I395" i="2"/>
  <c r="H395" i="2"/>
  <c r="J394" i="2"/>
  <c r="I394" i="2"/>
  <c r="H394" i="2"/>
  <c r="J393" i="2"/>
  <c r="I393" i="2"/>
  <c r="H393" i="2"/>
  <c r="J392" i="2"/>
  <c r="I392" i="2"/>
  <c r="H392" i="2"/>
  <c r="J391" i="2"/>
  <c r="I391" i="2"/>
  <c r="H391" i="2"/>
  <c r="J390" i="2"/>
  <c r="I390" i="2"/>
  <c r="H390" i="2"/>
  <c r="J389" i="2"/>
  <c r="I389" i="2"/>
  <c r="H389" i="2"/>
  <c r="J388" i="2"/>
  <c r="I388" i="2"/>
  <c r="H388" i="2"/>
  <c r="J387" i="2"/>
  <c r="I387" i="2"/>
  <c r="H387" i="2"/>
  <c r="J386" i="2"/>
  <c r="I386" i="2"/>
  <c r="H386" i="2"/>
  <c r="J385" i="2"/>
  <c r="I385" i="2"/>
  <c r="H385" i="2"/>
  <c r="J384" i="2"/>
  <c r="I384" i="2"/>
  <c r="H384" i="2"/>
  <c r="J383" i="2"/>
  <c r="I383" i="2"/>
  <c r="H383" i="2"/>
  <c r="J382" i="2"/>
  <c r="I382" i="2"/>
  <c r="H382" i="2"/>
  <c r="J381" i="2"/>
  <c r="I381" i="2"/>
  <c r="H381" i="2"/>
  <c r="J380" i="2"/>
  <c r="I380" i="2"/>
  <c r="H380" i="2"/>
  <c r="J379" i="2"/>
  <c r="I379" i="2"/>
  <c r="H379" i="2"/>
  <c r="J378" i="2"/>
  <c r="I378" i="2"/>
  <c r="H378" i="2"/>
  <c r="J377" i="2"/>
  <c r="I377" i="2"/>
  <c r="H377" i="2"/>
  <c r="J376" i="2"/>
  <c r="I376" i="2"/>
  <c r="H376" i="2"/>
  <c r="J375" i="2"/>
  <c r="I375" i="2"/>
  <c r="H375" i="2"/>
  <c r="J374" i="2"/>
  <c r="I374" i="2"/>
  <c r="H374" i="2"/>
  <c r="J373" i="2"/>
  <c r="I373" i="2"/>
  <c r="H373" i="2"/>
  <c r="J372" i="2"/>
  <c r="I372" i="2"/>
  <c r="H372" i="2"/>
  <c r="J371" i="2"/>
  <c r="I371" i="2"/>
  <c r="H371" i="2"/>
  <c r="J370" i="2"/>
  <c r="I370" i="2"/>
  <c r="H370" i="2"/>
  <c r="J369" i="2"/>
  <c r="I369" i="2"/>
  <c r="H369" i="2"/>
  <c r="J368" i="2"/>
  <c r="I368" i="2"/>
  <c r="H368" i="2"/>
  <c r="J367" i="2"/>
  <c r="I367" i="2"/>
  <c r="H367" i="2"/>
  <c r="J366" i="2"/>
  <c r="I366" i="2"/>
  <c r="H366" i="2"/>
  <c r="J365" i="2"/>
  <c r="I365" i="2"/>
  <c r="H365" i="2"/>
  <c r="J364" i="2"/>
  <c r="I364" i="2"/>
  <c r="H364" i="2"/>
  <c r="J363" i="2"/>
  <c r="I363" i="2"/>
  <c r="H363" i="2"/>
  <c r="J362" i="2"/>
  <c r="I362" i="2"/>
  <c r="H362" i="2"/>
  <c r="J361" i="2"/>
  <c r="I361" i="2"/>
  <c r="H361" i="2"/>
  <c r="J360" i="2"/>
  <c r="I360" i="2"/>
  <c r="H360" i="2"/>
  <c r="J359" i="2"/>
  <c r="I359" i="2"/>
  <c r="H359" i="2"/>
  <c r="J358" i="2"/>
  <c r="I358" i="2"/>
  <c r="H358" i="2"/>
  <c r="J357" i="2"/>
  <c r="I357" i="2"/>
  <c r="H357" i="2"/>
  <c r="J356" i="2"/>
  <c r="I356" i="2"/>
  <c r="H356" i="2"/>
  <c r="J355" i="2"/>
  <c r="I355" i="2"/>
  <c r="H355" i="2"/>
  <c r="J354" i="2"/>
  <c r="I354" i="2"/>
  <c r="H354" i="2"/>
  <c r="J353" i="2"/>
  <c r="I353" i="2"/>
  <c r="H353" i="2"/>
  <c r="J352" i="2"/>
  <c r="I352" i="2"/>
  <c r="H352" i="2"/>
  <c r="J351" i="2"/>
  <c r="I351" i="2"/>
  <c r="H351" i="2"/>
  <c r="J350" i="2"/>
  <c r="I350" i="2"/>
  <c r="H350" i="2"/>
  <c r="J349" i="2"/>
  <c r="I349" i="2"/>
  <c r="H349" i="2"/>
  <c r="J348" i="2"/>
  <c r="I348" i="2"/>
  <c r="H348" i="2"/>
  <c r="J347" i="2"/>
  <c r="I347" i="2"/>
  <c r="H347" i="2"/>
  <c r="J346" i="2"/>
  <c r="I346" i="2"/>
  <c r="H346" i="2"/>
  <c r="J345" i="2"/>
  <c r="I345" i="2"/>
  <c r="H345" i="2"/>
  <c r="J344" i="2"/>
  <c r="I344" i="2"/>
  <c r="H344" i="2"/>
  <c r="J343" i="2"/>
  <c r="I343" i="2"/>
  <c r="H343" i="2"/>
  <c r="J342" i="2"/>
  <c r="I342" i="2"/>
  <c r="H342" i="2"/>
  <c r="J341" i="2"/>
  <c r="I341" i="2"/>
  <c r="H341" i="2"/>
  <c r="J340" i="2"/>
  <c r="I340" i="2"/>
  <c r="H340" i="2"/>
  <c r="J339" i="2"/>
  <c r="I339" i="2"/>
  <c r="H339" i="2"/>
  <c r="J338" i="2"/>
  <c r="I338" i="2"/>
  <c r="H338" i="2"/>
  <c r="J337" i="2"/>
  <c r="I337" i="2"/>
  <c r="H337" i="2"/>
  <c r="J336" i="2"/>
  <c r="I336" i="2"/>
  <c r="H336" i="2"/>
  <c r="J335" i="2"/>
  <c r="I335" i="2"/>
  <c r="H335" i="2"/>
  <c r="J334" i="2"/>
  <c r="I334" i="2"/>
  <c r="H334" i="2"/>
  <c r="J333" i="2"/>
  <c r="I333" i="2"/>
  <c r="H333" i="2"/>
  <c r="J332" i="2"/>
  <c r="I332" i="2"/>
  <c r="H332" i="2"/>
  <c r="J331" i="2"/>
  <c r="I331" i="2"/>
  <c r="H331" i="2"/>
  <c r="J330" i="2"/>
  <c r="I330" i="2"/>
  <c r="H330" i="2"/>
  <c r="J329" i="2"/>
  <c r="I329" i="2"/>
  <c r="H329" i="2"/>
  <c r="J328" i="2"/>
  <c r="I328" i="2"/>
  <c r="H328" i="2"/>
  <c r="J327" i="2"/>
  <c r="I327" i="2"/>
  <c r="H327" i="2"/>
  <c r="I326" i="2"/>
  <c r="H326" i="2"/>
  <c r="J326" i="2" s="1"/>
  <c r="J325" i="2"/>
  <c r="I325" i="2"/>
  <c r="H325" i="2"/>
  <c r="I324" i="2"/>
  <c r="H324" i="2"/>
  <c r="J324" i="2" s="1"/>
  <c r="J323" i="2"/>
  <c r="I323" i="2"/>
  <c r="H323" i="2"/>
  <c r="I322" i="2"/>
  <c r="H322" i="2"/>
  <c r="J322" i="2" s="1"/>
  <c r="J321" i="2"/>
  <c r="I321" i="2"/>
  <c r="H321" i="2"/>
  <c r="I320" i="2"/>
  <c r="H320" i="2"/>
  <c r="J320" i="2" s="1"/>
  <c r="J319" i="2"/>
  <c r="I319" i="2"/>
  <c r="H319" i="2"/>
  <c r="I318" i="2"/>
  <c r="H318" i="2"/>
  <c r="J318" i="2" s="1"/>
  <c r="J317" i="2"/>
  <c r="I317" i="2"/>
  <c r="H317" i="2"/>
  <c r="J316" i="2"/>
  <c r="I316" i="2"/>
  <c r="H316" i="2"/>
  <c r="J315" i="2"/>
  <c r="I315" i="2"/>
  <c r="H315" i="2"/>
  <c r="J314" i="2"/>
  <c r="I314" i="2"/>
  <c r="H314" i="2"/>
  <c r="J313" i="2"/>
  <c r="I313" i="2"/>
  <c r="H313" i="2"/>
  <c r="J312" i="2"/>
  <c r="I312" i="2"/>
  <c r="H312" i="2"/>
  <c r="J311" i="2"/>
  <c r="I311" i="2"/>
  <c r="H311" i="2"/>
  <c r="I310" i="2"/>
  <c r="H310" i="2"/>
  <c r="J310" i="2" s="1"/>
  <c r="J309" i="2"/>
  <c r="I309" i="2"/>
  <c r="H309" i="2"/>
  <c r="I308" i="2"/>
  <c r="H308" i="2"/>
  <c r="J308" i="2" s="1"/>
  <c r="J307" i="2"/>
  <c r="I307" i="2"/>
  <c r="H307" i="2"/>
  <c r="I306" i="2"/>
  <c r="H306" i="2"/>
  <c r="J306" i="2" s="1"/>
  <c r="J305" i="2"/>
  <c r="I305" i="2"/>
  <c r="H305" i="2"/>
  <c r="I304" i="2"/>
  <c r="H304" i="2"/>
  <c r="J304" i="2" s="1"/>
  <c r="J303" i="2"/>
  <c r="I303" i="2"/>
  <c r="H303" i="2"/>
  <c r="I302" i="2"/>
  <c r="H302" i="2"/>
  <c r="J302" i="2" s="1"/>
  <c r="J301" i="2"/>
  <c r="I301" i="2"/>
  <c r="H301" i="2"/>
  <c r="I300" i="2"/>
  <c r="H300" i="2"/>
  <c r="J300" i="2" s="1"/>
  <c r="J299" i="2"/>
  <c r="I299" i="2"/>
  <c r="H299" i="2"/>
  <c r="I298" i="2"/>
  <c r="H298" i="2"/>
  <c r="J298" i="2" s="1"/>
  <c r="J297" i="2"/>
  <c r="I297" i="2"/>
  <c r="H297" i="2"/>
  <c r="I296" i="2"/>
  <c r="H296" i="2"/>
  <c r="J296" i="2" s="1"/>
  <c r="J295" i="2"/>
  <c r="I295" i="2"/>
  <c r="H295" i="2"/>
  <c r="I294" i="2"/>
  <c r="H294" i="2"/>
  <c r="J294" i="2" s="1"/>
  <c r="J293" i="2"/>
  <c r="I293" i="2"/>
  <c r="H293" i="2"/>
  <c r="I292" i="2"/>
  <c r="H292" i="2"/>
  <c r="J292" i="2" s="1"/>
  <c r="J291" i="2"/>
  <c r="I291" i="2"/>
  <c r="H291" i="2"/>
  <c r="I290" i="2"/>
  <c r="H290" i="2"/>
  <c r="J290" i="2" s="1"/>
  <c r="J289" i="2"/>
  <c r="I289" i="2"/>
  <c r="H289" i="2"/>
  <c r="I288" i="2"/>
  <c r="H288" i="2"/>
  <c r="J288" i="2" s="1"/>
  <c r="J287" i="2"/>
  <c r="I287" i="2"/>
  <c r="H287" i="2"/>
  <c r="I286" i="2"/>
  <c r="H286" i="2"/>
  <c r="J286" i="2" s="1"/>
  <c r="J285" i="2"/>
  <c r="I285" i="2"/>
  <c r="H285" i="2"/>
  <c r="I284" i="2"/>
  <c r="H284" i="2"/>
  <c r="J284" i="2" s="1"/>
  <c r="J283" i="2"/>
  <c r="I283" i="2"/>
  <c r="H283" i="2"/>
  <c r="I282" i="2"/>
  <c r="H282" i="2"/>
  <c r="J282" i="2" s="1"/>
  <c r="J281" i="2"/>
  <c r="I281" i="2"/>
  <c r="H281" i="2"/>
  <c r="I280" i="2"/>
  <c r="H280" i="2"/>
  <c r="J280" i="2" s="1"/>
  <c r="J279" i="2"/>
  <c r="I279" i="2"/>
  <c r="H279" i="2"/>
  <c r="I278" i="2"/>
  <c r="H278" i="2"/>
  <c r="J278" i="2" s="1"/>
  <c r="J277" i="2"/>
  <c r="I277" i="2"/>
  <c r="H277" i="2"/>
  <c r="I276" i="2"/>
  <c r="H276" i="2"/>
  <c r="J276" i="2" s="1"/>
  <c r="J275" i="2"/>
  <c r="I275" i="2"/>
  <c r="H275" i="2"/>
  <c r="I274" i="2"/>
  <c r="H274" i="2"/>
  <c r="J274" i="2" s="1"/>
  <c r="J273" i="2"/>
  <c r="I273" i="2"/>
  <c r="H273" i="2"/>
  <c r="I272" i="2"/>
  <c r="H272" i="2"/>
  <c r="J272" i="2" s="1"/>
  <c r="J271" i="2"/>
  <c r="I271" i="2"/>
  <c r="H271" i="2"/>
  <c r="I270" i="2"/>
  <c r="H270" i="2"/>
  <c r="J270" i="2" s="1"/>
  <c r="J269" i="2"/>
  <c r="I269" i="2"/>
  <c r="H269" i="2"/>
  <c r="I268" i="2"/>
  <c r="H268" i="2"/>
  <c r="J268" i="2" s="1"/>
  <c r="J267" i="2"/>
  <c r="I267" i="2"/>
  <c r="H267" i="2"/>
  <c r="I266" i="2"/>
  <c r="H266" i="2"/>
  <c r="J266" i="2" s="1"/>
  <c r="J265" i="2"/>
  <c r="I265" i="2"/>
  <c r="H265" i="2"/>
  <c r="I264" i="2"/>
  <c r="H264" i="2"/>
  <c r="J264" i="2" s="1"/>
  <c r="J263" i="2"/>
  <c r="I263" i="2"/>
  <c r="H263" i="2"/>
  <c r="I262" i="2"/>
  <c r="H262" i="2"/>
  <c r="J262" i="2" s="1"/>
  <c r="J261" i="2"/>
  <c r="I261" i="2"/>
  <c r="H261" i="2"/>
  <c r="I260" i="2"/>
  <c r="H260" i="2"/>
  <c r="J260" i="2" s="1"/>
  <c r="J259" i="2"/>
  <c r="I259" i="2"/>
  <c r="H259" i="2"/>
  <c r="I258" i="2"/>
  <c r="H258" i="2"/>
  <c r="J258" i="2" s="1"/>
  <c r="J257" i="2"/>
  <c r="I257" i="2"/>
  <c r="H257" i="2"/>
  <c r="I256" i="2"/>
  <c r="H256" i="2"/>
  <c r="J256" i="2" s="1"/>
  <c r="J255" i="2"/>
  <c r="I255" i="2"/>
  <c r="H255" i="2"/>
  <c r="I254" i="2"/>
  <c r="H254" i="2"/>
  <c r="J254" i="2" s="1"/>
  <c r="J253" i="2"/>
  <c r="I253" i="2"/>
  <c r="H253" i="2"/>
  <c r="I252" i="2"/>
  <c r="H252" i="2"/>
  <c r="J252" i="2" s="1"/>
  <c r="J251" i="2"/>
  <c r="I251" i="2"/>
  <c r="H251" i="2"/>
  <c r="I250" i="2"/>
  <c r="H250" i="2"/>
  <c r="J250" i="2" s="1"/>
  <c r="J249" i="2"/>
  <c r="I249" i="2"/>
  <c r="H249" i="2"/>
  <c r="I248" i="2"/>
  <c r="H248" i="2"/>
  <c r="J248" i="2" s="1"/>
  <c r="J247" i="2"/>
  <c r="I247" i="2"/>
  <c r="H247" i="2"/>
  <c r="I246" i="2"/>
  <c r="H246" i="2"/>
  <c r="J246" i="2" s="1"/>
  <c r="J245" i="2"/>
  <c r="I245" i="2"/>
  <c r="H245" i="2"/>
  <c r="I244" i="2"/>
  <c r="H244" i="2"/>
  <c r="J244" i="2" s="1"/>
  <c r="J243" i="2"/>
  <c r="I243" i="2"/>
  <c r="H243" i="2"/>
  <c r="I242" i="2"/>
  <c r="H242" i="2"/>
  <c r="J242" i="2" s="1"/>
  <c r="J241" i="2"/>
  <c r="I241" i="2"/>
  <c r="H241" i="2"/>
  <c r="I240" i="2"/>
  <c r="H240" i="2"/>
  <c r="J240" i="2" s="1"/>
  <c r="J239" i="2"/>
  <c r="I239" i="2"/>
  <c r="H239" i="2"/>
  <c r="I238" i="2"/>
  <c r="H238" i="2"/>
  <c r="J238" i="2" s="1"/>
  <c r="J237" i="2"/>
  <c r="I237" i="2"/>
  <c r="H237" i="2"/>
  <c r="I236" i="2"/>
  <c r="H236" i="2"/>
  <c r="J236" i="2" s="1"/>
  <c r="J235" i="2"/>
  <c r="I235" i="2"/>
  <c r="H235" i="2"/>
  <c r="I234" i="2"/>
  <c r="H234" i="2"/>
  <c r="J234" i="2" s="1"/>
  <c r="J233" i="2"/>
  <c r="I233" i="2"/>
  <c r="H233" i="2"/>
  <c r="I232" i="2"/>
  <c r="H232" i="2"/>
  <c r="J232" i="2" s="1"/>
  <c r="J231" i="2"/>
  <c r="I231" i="2"/>
  <c r="H231" i="2"/>
  <c r="I230" i="2"/>
  <c r="H230" i="2"/>
  <c r="J230" i="2" s="1"/>
  <c r="J229" i="2"/>
  <c r="I229" i="2"/>
  <c r="H229" i="2"/>
  <c r="I228" i="2"/>
  <c r="H228" i="2"/>
  <c r="J228" i="2" s="1"/>
  <c r="J227" i="2"/>
  <c r="I227" i="2"/>
  <c r="H227" i="2"/>
  <c r="I226" i="2"/>
  <c r="H226" i="2"/>
  <c r="J226" i="2" s="1"/>
  <c r="J225" i="2"/>
  <c r="I225" i="2"/>
  <c r="H225" i="2"/>
  <c r="I224" i="2"/>
  <c r="H224" i="2"/>
  <c r="J224" i="2" s="1"/>
  <c r="J223" i="2"/>
  <c r="I223" i="2"/>
  <c r="H223" i="2"/>
  <c r="I222" i="2"/>
  <c r="H222" i="2"/>
  <c r="J222" i="2" s="1"/>
  <c r="J221" i="2"/>
  <c r="I221" i="2"/>
  <c r="H221" i="2"/>
  <c r="I220" i="2"/>
  <c r="H220" i="2"/>
  <c r="J220" i="2" s="1"/>
  <c r="J219" i="2"/>
  <c r="I219" i="2"/>
  <c r="H219" i="2"/>
  <c r="I218" i="2"/>
  <c r="H218" i="2"/>
  <c r="J218" i="2" s="1"/>
  <c r="J217" i="2"/>
  <c r="I217" i="2"/>
  <c r="H217" i="2"/>
  <c r="I216" i="2"/>
  <c r="H216" i="2"/>
  <c r="J216" i="2" s="1"/>
  <c r="J215" i="2"/>
  <c r="I215" i="2"/>
  <c r="H215" i="2"/>
  <c r="I214" i="2"/>
  <c r="H214" i="2"/>
  <c r="J214" i="2" s="1"/>
  <c r="J213" i="2"/>
  <c r="I213" i="2"/>
  <c r="H213" i="2"/>
  <c r="I212" i="2"/>
  <c r="H212" i="2"/>
  <c r="J212" i="2" s="1"/>
  <c r="J211" i="2"/>
  <c r="I211" i="2"/>
  <c r="H211" i="2"/>
  <c r="I210" i="2"/>
  <c r="H210" i="2"/>
  <c r="J210" i="2" s="1"/>
  <c r="J209" i="2"/>
  <c r="I209" i="2"/>
  <c r="H209" i="2"/>
  <c r="I208" i="2"/>
  <c r="H208" i="2"/>
  <c r="J208" i="2" s="1"/>
  <c r="J207" i="2"/>
  <c r="I207" i="2"/>
  <c r="H207" i="2"/>
  <c r="I206" i="2"/>
  <c r="H206" i="2"/>
  <c r="J206" i="2" s="1"/>
  <c r="J205" i="2"/>
  <c r="I205" i="2"/>
  <c r="H205" i="2"/>
  <c r="I204" i="2"/>
  <c r="H204" i="2"/>
  <c r="J204" i="2" s="1"/>
  <c r="J203" i="2"/>
  <c r="I203" i="2"/>
  <c r="H203" i="2"/>
  <c r="I202" i="2"/>
  <c r="H202" i="2"/>
  <c r="J202" i="2" s="1"/>
  <c r="J201" i="2"/>
  <c r="I201" i="2"/>
  <c r="H201" i="2"/>
  <c r="I200" i="2"/>
  <c r="H200" i="2"/>
  <c r="J200" i="2" s="1"/>
  <c r="J199" i="2"/>
  <c r="I199" i="2"/>
  <c r="H199" i="2"/>
  <c r="I198" i="2"/>
  <c r="H198" i="2"/>
  <c r="J198" i="2" s="1"/>
  <c r="J197" i="2"/>
  <c r="I197" i="2"/>
  <c r="H197" i="2"/>
  <c r="I196" i="2"/>
  <c r="H196" i="2"/>
  <c r="J196" i="2" s="1"/>
  <c r="J195" i="2"/>
  <c r="I195" i="2"/>
  <c r="H195" i="2"/>
  <c r="I194" i="2"/>
  <c r="H194" i="2"/>
  <c r="J194" i="2" s="1"/>
  <c r="J193" i="2"/>
  <c r="I193" i="2"/>
  <c r="H193" i="2"/>
  <c r="J192" i="2"/>
  <c r="I192" i="2"/>
  <c r="H192" i="2"/>
  <c r="J191" i="2"/>
  <c r="I191" i="2"/>
  <c r="H191" i="2"/>
  <c r="J190" i="2"/>
  <c r="I190" i="2"/>
  <c r="H190" i="2"/>
  <c r="J189" i="2"/>
  <c r="I189" i="2"/>
  <c r="H189" i="2"/>
  <c r="I188" i="2"/>
  <c r="H188" i="2"/>
  <c r="J188" i="2" s="1"/>
  <c r="J187" i="2"/>
  <c r="I187" i="2"/>
  <c r="H187" i="2"/>
  <c r="I186" i="2"/>
  <c r="H186" i="2"/>
  <c r="J186" i="2" s="1"/>
  <c r="J185" i="2"/>
  <c r="I185" i="2"/>
  <c r="H185" i="2"/>
  <c r="J184" i="2"/>
  <c r="I184" i="2"/>
  <c r="H184" i="2"/>
  <c r="J183" i="2"/>
  <c r="I183" i="2"/>
  <c r="H183" i="2"/>
  <c r="J182" i="2"/>
  <c r="I182" i="2"/>
  <c r="H182" i="2"/>
  <c r="J181" i="2"/>
  <c r="I181" i="2"/>
  <c r="H181" i="2"/>
  <c r="I180" i="2"/>
  <c r="H180" i="2"/>
  <c r="J180" i="2" s="1"/>
  <c r="J179" i="2"/>
  <c r="I179" i="2"/>
  <c r="H179" i="2"/>
  <c r="I178" i="2"/>
  <c r="H178" i="2"/>
  <c r="J178" i="2" s="1"/>
  <c r="J177" i="2"/>
  <c r="I177" i="2"/>
  <c r="H177" i="2"/>
  <c r="J176" i="2"/>
  <c r="I176" i="2"/>
  <c r="H176" i="2"/>
  <c r="J175" i="2"/>
  <c r="I175" i="2"/>
  <c r="H175" i="2"/>
  <c r="J174" i="2"/>
  <c r="I174" i="2"/>
  <c r="H174" i="2"/>
  <c r="J173" i="2"/>
  <c r="I173" i="2"/>
  <c r="H173" i="2"/>
  <c r="I172" i="2"/>
  <c r="H172" i="2"/>
  <c r="J172" i="2" s="1"/>
  <c r="J171" i="2"/>
  <c r="I171" i="2"/>
  <c r="H171" i="2"/>
  <c r="J170" i="2"/>
  <c r="I170" i="2"/>
  <c r="H170" i="2"/>
  <c r="J169" i="2"/>
  <c r="I169" i="2"/>
  <c r="H169" i="2"/>
  <c r="J168" i="2"/>
  <c r="I168" i="2"/>
  <c r="H168" i="2"/>
  <c r="J167" i="2"/>
  <c r="I167" i="2"/>
  <c r="H167" i="2"/>
  <c r="J166" i="2"/>
  <c r="I166" i="2"/>
  <c r="H166" i="2"/>
  <c r="J165" i="2"/>
  <c r="I165" i="2"/>
  <c r="H165" i="2"/>
  <c r="J164" i="2"/>
  <c r="I164" i="2"/>
  <c r="H164" i="2"/>
  <c r="J163" i="2"/>
  <c r="I163" i="2"/>
  <c r="H163" i="2"/>
  <c r="J162" i="2"/>
  <c r="I162" i="2"/>
  <c r="H162" i="2"/>
  <c r="J161" i="2"/>
  <c r="I161" i="2"/>
  <c r="H161" i="2"/>
  <c r="J160" i="2"/>
  <c r="I160" i="2"/>
  <c r="H160" i="2"/>
  <c r="J159" i="2"/>
  <c r="I159" i="2"/>
  <c r="H159" i="2"/>
  <c r="J158" i="2"/>
  <c r="I158" i="2"/>
  <c r="H158" i="2"/>
  <c r="J157" i="2"/>
  <c r="I157" i="2"/>
  <c r="H157" i="2"/>
  <c r="J156" i="2"/>
  <c r="I156" i="2"/>
  <c r="H156" i="2"/>
  <c r="J155" i="2"/>
  <c r="I155" i="2"/>
  <c r="H155" i="2"/>
  <c r="J154" i="2"/>
  <c r="I154" i="2"/>
  <c r="H154" i="2"/>
  <c r="J153" i="2"/>
  <c r="I153" i="2"/>
  <c r="H153" i="2"/>
  <c r="J152" i="2"/>
  <c r="I152" i="2"/>
  <c r="H152" i="2"/>
  <c r="J151" i="2"/>
  <c r="I151" i="2"/>
  <c r="H151" i="2"/>
  <c r="J150" i="2"/>
  <c r="I150" i="2"/>
  <c r="H150" i="2"/>
  <c r="J149" i="2"/>
  <c r="I149" i="2"/>
  <c r="H149" i="2"/>
  <c r="J148" i="2"/>
  <c r="I148" i="2"/>
  <c r="H148" i="2"/>
  <c r="J147" i="2"/>
  <c r="I147" i="2"/>
  <c r="H147" i="2"/>
  <c r="J146" i="2"/>
  <c r="I146" i="2"/>
  <c r="H146" i="2"/>
  <c r="J145" i="2"/>
  <c r="I145" i="2"/>
  <c r="H145" i="2"/>
  <c r="J144" i="2"/>
  <c r="I144" i="2"/>
  <c r="H144" i="2"/>
  <c r="J143" i="2"/>
  <c r="I143" i="2"/>
  <c r="H143" i="2"/>
  <c r="J142" i="2"/>
  <c r="I142" i="2"/>
  <c r="H142" i="2"/>
  <c r="J141" i="2"/>
  <c r="I141" i="2"/>
  <c r="H141" i="2"/>
  <c r="J140" i="2"/>
  <c r="I140" i="2"/>
  <c r="H140" i="2"/>
  <c r="J139" i="2"/>
  <c r="I139" i="2"/>
  <c r="H139" i="2"/>
  <c r="J138" i="2"/>
  <c r="I138" i="2"/>
  <c r="H138" i="2"/>
  <c r="J137" i="2"/>
  <c r="I137" i="2"/>
  <c r="H137" i="2"/>
  <c r="J136" i="2"/>
  <c r="I136" i="2"/>
  <c r="H136" i="2"/>
  <c r="J135" i="2"/>
  <c r="I135" i="2"/>
  <c r="H135" i="2"/>
  <c r="J134" i="2"/>
  <c r="I134" i="2"/>
  <c r="H134" i="2"/>
  <c r="J133" i="2"/>
  <c r="I133" i="2"/>
  <c r="H133" i="2"/>
  <c r="J132" i="2"/>
  <c r="I132" i="2"/>
  <c r="H132" i="2"/>
  <c r="J131" i="2"/>
  <c r="I131" i="2"/>
  <c r="H131" i="2"/>
  <c r="J130" i="2"/>
  <c r="I130" i="2"/>
  <c r="H130" i="2"/>
  <c r="J129" i="2"/>
  <c r="I129" i="2"/>
  <c r="H129" i="2"/>
  <c r="J128" i="2"/>
  <c r="I128" i="2"/>
  <c r="H128" i="2"/>
  <c r="J127" i="2"/>
  <c r="I127" i="2"/>
  <c r="H127" i="2"/>
  <c r="J126" i="2"/>
  <c r="I126" i="2"/>
  <c r="H126" i="2"/>
  <c r="J125" i="2"/>
  <c r="I125" i="2"/>
  <c r="H125" i="2"/>
  <c r="J124" i="2"/>
  <c r="I124" i="2"/>
  <c r="H124" i="2"/>
  <c r="J123" i="2"/>
  <c r="I123" i="2"/>
  <c r="H123" i="2"/>
  <c r="J122" i="2"/>
  <c r="I122" i="2"/>
  <c r="H122" i="2"/>
  <c r="J121" i="2"/>
  <c r="I121" i="2"/>
  <c r="H121" i="2"/>
  <c r="J120" i="2"/>
  <c r="I120" i="2"/>
  <c r="H120" i="2"/>
  <c r="J119" i="2"/>
  <c r="I119" i="2"/>
  <c r="H119" i="2"/>
  <c r="J118" i="2"/>
  <c r="I118" i="2"/>
  <c r="H118" i="2"/>
  <c r="J117" i="2"/>
  <c r="I117" i="2"/>
  <c r="H117" i="2"/>
  <c r="J116" i="2"/>
  <c r="I116" i="2"/>
  <c r="H116" i="2"/>
  <c r="J115" i="2"/>
  <c r="I115" i="2"/>
  <c r="H115" i="2"/>
  <c r="J114" i="2"/>
  <c r="I114" i="2"/>
  <c r="H114" i="2"/>
  <c r="J113" i="2"/>
  <c r="I113" i="2"/>
  <c r="H113" i="2"/>
  <c r="J112" i="2"/>
  <c r="I112" i="2"/>
  <c r="H112" i="2"/>
  <c r="J111" i="2"/>
  <c r="I111" i="2"/>
  <c r="H111" i="2"/>
  <c r="J110" i="2"/>
  <c r="I110" i="2"/>
  <c r="H110" i="2"/>
  <c r="J109" i="2"/>
  <c r="I109" i="2"/>
  <c r="H109" i="2"/>
  <c r="J108" i="2"/>
  <c r="I108" i="2"/>
  <c r="H108" i="2"/>
  <c r="J107" i="2"/>
  <c r="I107" i="2"/>
  <c r="H107" i="2"/>
  <c r="J106" i="2"/>
  <c r="I106" i="2"/>
  <c r="H106" i="2"/>
  <c r="J105" i="2"/>
  <c r="I105" i="2"/>
  <c r="H105" i="2"/>
  <c r="J104" i="2"/>
  <c r="I104" i="2"/>
  <c r="H104" i="2"/>
  <c r="J103" i="2"/>
  <c r="I103" i="2"/>
  <c r="H103" i="2"/>
  <c r="J102" i="2"/>
  <c r="I102" i="2"/>
  <c r="H102" i="2"/>
  <c r="J101" i="2"/>
  <c r="I101" i="2"/>
  <c r="H101" i="2"/>
  <c r="J100" i="2"/>
  <c r="I100" i="2"/>
  <c r="H100" i="2"/>
  <c r="J99" i="2"/>
  <c r="I99" i="2"/>
  <c r="H99" i="2"/>
  <c r="J98" i="2"/>
  <c r="I98" i="2"/>
  <c r="H98" i="2"/>
  <c r="J97" i="2"/>
  <c r="I97" i="2"/>
  <c r="H97" i="2"/>
  <c r="J96" i="2"/>
  <c r="I96" i="2"/>
  <c r="H96" i="2"/>
  <c r="J95" i="2"/>
  <c r="I95" i="2"/>
  <c r="H95" i="2"/>
  <c r="J94" i="2"/>
  <c r="I94" i="2"/>
  <c r="H94" i="2"/>
  <c r="J93" i="2"/>
  <c r="I93" i="2"/>
  <c r="H93" i="2"/>
  <c r="J92" i="2"/>
  <c r="I92" i="2"/>
  <c r="H92" i="2"/>
  <c r="J91" i="2"/>
  <c r="I91" i="2"/>
  <c r="H91" i="2"/>
  <c r="J90" i="2"/>
  <c r="I90" i="2"/>
  <c r="H90" i="2"/>
  <c r="J89" i="2"/>
  <c r="I89" i="2"/>
  <c r="H89" i="2"/>
  <c r="J88" i="2"/>
  <c r="I88" i="2"/>
  <c r="H88" i="2"/>
  <c r="J87" i="2"/>
  <c r="I87" i="2"/>
  <c r="H87" i="2"/>
  <c r="J86" i="2"/>
  <c r="I86" i="2"/>
  <c r="H86" i="2"/>
  <c r="J85" i="2"/>
  <c r="I85" i="2"/>
  <c r="H85" i="2"/>
  <c r="J84" i="2"/>
  <c r="I84" i="2"/>
  <c r="H84" i="2"/>
  <c r="J83" i="2"/>
  <c r="I83" i="2"/>
  <c r="H83" i="2"/>
  <c r="J82" i="2"/>
  <c r="I82" i="2"/>
  <c r="H82" i="2"/>
  <c r="J81" i="2"/>
  <c r="I81" i="2"/>
  <c r="H81" i="2"/>
  <c r="J80" i="2"/>
  <c r="I80" i="2"/>
  <c r="H80" i="2"/>
  <c r="J79" i="2"/>
  <c r="I79" i="2"/>
  <c r="H79" i="2"/>
  <c r="J78" i="2"/>
  <c r="I78" i="2"/>
  <c r="H78" i="2"/>
  <c r="J77" i="2"/>
  <c r="I77" i="2"/>
  <c r="H77" i="2"/>
  <c r="J76" i="2"/>
  <c r="I76" i="2"/>
  <c r="H76" i="2"/>
  <c r="J75" i="2"/>
  <c r="I75" i="2"/>
  <c r="H75" i="2"/>
  <c r="J74" i="2"/>
  <c r="I74" i="2"/>
  <c r="H74" i="2"/>
  <c r="J73" i="2"/>
  <c r="I73" i="2"/>
  <c r="H73" i="2"/>
  <c r="J72" i="2"/>
  <c r="I72" i="2"/>
  <c r="H72" i="2"/>
  <c r="J71" i="2"/>
  <c r="I71" i="2"/>
  <c r="H71" i="2"/>
  <c r="J70" i="2"/>
  <c r="I70" i="2"/>
  <c r="H70" i="2"/>
  <c r="J69" i="2"/>
  <c r="I69" i="2"/>
  <c r="H69" i="2"/>
  <c r="J68" i="2"/>
  <c r="I68" i="2"/>
  <c r="H68" i="2"/>
  <c r="J67" i="2"/>
  <c r="I67" i="2"/>
  <c r="H67" i="2"/>
  <c r="J66" i="2"/>
  <c r="I66" i="2"/>
  <c r="H66" i="2"/>
  <c r="J65" i="2"/>
  <c r="I65" i="2"/>
  <c r="H65" i="2"/>
  <c r="J64" i="2"/>
  <c r="I64" i="2"/>
  <c r="H64" i="2"/>
  <c r="J63" i="2"/>
  <c r="I63" i="2"/>
  <c r="H63" i="2"/>
  <c r="J62" i="2"/>
  <c r="I62" i="2"/>
  <c r="H62" i="2"/>
  <c r="J61" i="2"/>
  <c r="I61" i="2"/>
  <c r="H61" i="2"/>
  <c r="J60" i="2"/>
  <c r="I60" i="2"/>
  <c r="H60" i="2"/>
  <c r="J59" i="2"/>
  <c r="I59" i="2"/>
  <c r="H59" i="2"/>
  <c r="J58" i="2"/>
  <c r="I58" i="2"/>
  <c r="H58" i="2"/>
  <c r="J57" i="2"/>
  <c r="I57" i="2"/>
  <c r="H57" i="2"/>
  <c r="J56" i="2"/>
  <c r="I56" i="2"/>
  <c r="H56" i="2"/>
  <c r="J55" i="2"/>
  <c r="I55" i="2"/>
  <c r="H55" i="2"/>
  <c r="J54" i="2"/>
  <c r="I54" i="2"/>
  <c r="H54" i="2"/>
  <c r="J53" i="2"/>
  <c r="I53" i="2"/>
  <c r="H53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7" i="2"/>
  <c r="I37" i="2"/>
  <c r="H37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C14" i="1" s="1"/>
  <c r="C23" i="1" s="1"/>
  <c r="J5" i="2"/>
  <c r="I5" i="2"/>
  <c r="H5" i="2"/>
  <c r="C24" i="1"/>
  <c r="C19" i="1"/>
  <c r="C25" i="1" s="1"/>
  <c r="C18" i="1"/>
  <c r="C17" i="1"/>
  <c r="C13" i="1"/>
  <c r="C12" i="1"/>
  <c r="C11" i="1"/>
  <c r="C22" i="1" s="1"/>
  <c r="C8" i="1"/>
  <c r="N396" i="2" s="1"/>
  <c r="C7" i="1"/>
  <c r="C15" i="1" l="1"/>
  <c r="C16" i="1" s="1"/>
  <c r="N5" i="2"/>
  <c r="N19" i="2"/>
  <c r="N33" i="2"/>
  <c r="N41" i="2"/>
  <c r="N47" i="2"/>
  <c r="N51" i="2"/>
  <c r="N53" i="2"/>
  <c r="N65" i="2"/>
  <c r="N75" i="2"/>
  <c r="N91" i="2"/>
  <c r="N109" i="2"/>
  <c r="N113" i="2"/>
  <c r="N119" i="2"/>
  <c r="N147" i="2"/>
  <c r="N7" i="2"/>
  <c r="N17" i="2"/>
  <c r="N31" i="2"/>
  <c r="N63" i="2"/>
  <c r="N73" i="2"/>
  <c r="N83" i="2"/>
  <c r="N87" i="2"/>
  <c r="N101" i="2"/>
  <c r="N121" i="2"/>
  <c r="N139" i="2"/>
  <c r="N149" i="2"/>
  <c r="N157" i="2"/>
  <c r="N163" i="2"/>
  <c r="N167" i="2"/>
  <c r="N332" i="2"/>
  <c r="N348" i="2"/>
  <c r="N364" i="2"/>
  <c r="N532" i="2"/>
  <c r="N590" i="2"/>
  <c r="N15" i="2"/>
  <c r="N29" i="2"/>
  <c r="N55" i="2"/>
  <c r="N69" i="2"/>
  <c r="N79" i="2"/>
  <c r="N93" i="2"/>
  <c r="N105" i="2"/>
  <c r="N123" i="2"/>
  <c r="N141" i="2"/>
  <c r="N8" i="2"/>
  <c r="N16" i="2"/>
  <c r="N22" i="2"/>
  <c r="N30" i="2"/>
  <c r="N36" i="2"/>
  <c r="N44" i="2"/>
  <c r="N46" i="2"/>
  <c r="N52" i="2"/>
  <c r="N56" i="2"/>
  <c r="N62" i="2"/>
  <c r="N68" i="2"/>
  <c r="N74" i="2"/>
  <c r="N80" i="2"/>
  <c r="N82" i="2"/>
  <c r="N88" i="2"/>
  <c r="N96" i="2"/>
  <c r="N102" i="2"/>
  <c r="N112" i="2"/>
  <c r="N116" i="2"/>
  <c r="N124" i="2"/>
  <c r="N130" i="2"/>
  <c r="N136" i="2"/>
  <c r="N142" i="2"/>
  <c r="N144" i="2"/>
  <c r="N148" i="2"/>
  <c r="N150" i="2"/>
  <c r="N152" i="2"/>
  <c r="N154" i="2"/>
  <c r="N156" i="2"/>
  <c r="N158" i="2"/>
  <c r="N160" i="2"/>
  <c r="N162" i="2"/>
  <c r="N164" i="2"/>
  <c r="N166" i="2"/>
  <c r="N168" i="2"/>
  <c r="N316" i="2"/>
  <c r="N603" i="2"/>
  <c r="N601" i="2"/>
  <c r="N599" i="2"/>
  <c r="N597" i="2"/>
  <c r="N595" i="2"/>
  <c r="N593" i="2"/>
  <c r="N591" i="2"/>
  <c r="N589" i="2"/>
  <c r="N587" i="2"/>
  <c r="N585" i="2"/>
  <c r="N583" i="2"/>
  <c r="N581" i="2"/>
  <c r="N579" i="2"/>
  <c r="N577" i="2"/>
  <c r="N575" i="2"/>
  <c r="N573" i="2"/>
  <c r="N571" i="2"/>
  <c r="N569" i="2"/>
  <c r="N567" i="2"/>
  <c r="N565" i="2"/>
  <c r="N563" i="2"/>
  <c r="N561" i="2"/>
  <c r="N559" i="2"/>
  <c r="N557" i="2"/>
  <c r="N555" i="2"/>
  <c r="N553" i="2"/>
  <c r="N551" i="2"/>
  <c r="N549" i="2"/>
  <c r="N547" i="2"/>
  <c r="N545" i="2"/>
  <c r="N543" i="2"/>
  <c r="N541" i="2"/>
  <c r="N539" i="2"/>
  <c r="N537" i="2"/>
  <c r="N535" i="2"/>
  <c r="N533" i="2"/>
  <c r="N531" i="2"/>
  <c r="N529" i="2"/>
  <c r="N527" i="2"/>
  <c r="N525" i="2"/>
  <c r="N523" i="2"/>
  <c r="N521" i="2"/>
  <c r="N519" i="2"/>
  <c r="N517" i="2"/>
  <c r="N515" i="2"/>
  <c r="N513" i="2"/>
  <c r="N511" i="2"/>
  <c r="N509" i="2"/>
  <c r="N507" i="2"/>
  <c r="N505" i="2"/>
  <c r="N503" i="2"/>
  <c r="N501" i="2"/>
  <c r="N499" i="2"/>
  <c r="N497" i="2"/>
  <c r="N495" i="2"/>
  <c r="N493" i="2"/>
  <c r="N491" i="2"/>
  <c r="N489" i="2"/>
  <c r="N487" i="2"/>
  <c r="N485" i="2"/>
  <c r="N483" i="2"/>
  <c r="N481" i="2"/>
  <c r="N479" i="2"/>
  <c r="N477" i="2"/>
  <c r="N475" i="2"/>
  <c r="N473" i="2"/>
  <c r="N471" i="2"/>
  <c r="N469" i="2"/>
  <c r="N467" i="2"/>
  <c r="N465" i="2"/>
  <c r="N463" i="2"/>
  <c r="N461" i="2"/>
  <c r="N459" i="2"/>
  <c r="N457" i="2"/>
  <c r="N455" i="2"/>
  <c r="N453" i="2"/>
  <c r="N451" i="2"/>
  <c r="N449" i="2"/>
  <c r="N447" i="2"/>
  <c r="N445" i="2"/>
  <c r="N443" i="2"/>
  <c r="N441" i="2"/>
  <c r="N439" i="2"/>
  <c r="N437" i="2"/>
  <c r="N592" i="2"/>
  <c r="N576" i="2"/>
  <c r="N560" i="2"/>
  <c r="N544" i="2"/>
  <c r="N528" i="2"/>
  <c r="N512" i="2"/>
  <c r="N496" i="2"/>
  <c r="N480" i="2"/>
  <c r="N464" i="2"/>
  <c r="N448" i="2"/>
  <c r="N594" i="2"/>
  <c r="N578" i="2"/>
  <c r="N562" i="2"/>
  <c r="N596" i="2"/>
  <c r="N580" i="2"/>
  <c r="N564" i="2"/>
  <c r="N548" i="2"/>
  <c r="N598" i="2"/>
  <c r="N582" i="2"/>
  <c r="N566" i="2"/>
  <c r="N550" i="2"/>
  <c r="N534" i="2"/>
  <c r="N602" i="2"/>
  <c r="N586" i="2"/>
  <c r="N570" i="2"/>
  <c r="N554" i="2"/>
  <c r="N538" i="2"/>
  <c r="N522" i="2"/>
  <c r="N506" i="2"/>
  <c r="N490" i="2"/>
  <c r="N474" i="2"/>
  <c r="N458" i="2"/>
  <c r="N442" i="2"/>
  <c r="N604" i="2"/>
  <c r="N588" i="2"/>
  <c r="N572" i="2"/>
  <c r="N556" i="2"/>
  <c r="N540" i="2"/>
  <c r="N524" i="2"/>
  <c r="N508" i="2"/>
  <c r="N492" i="2"/>
  <c r="N476" i="2"/>
  <c r="N460" i="2"/>
  <c r="N444" i="2"/>
  <c r="N435" i="2"/>
  <c r="N433" i="2"/>
  <c r="N431" i="2"/>
  <c r="N429" i="2"/>
  <c r="N427" i="2"/>
  <c r="N425" i="2"/>
  <c r="N423" i="2"/>
  <c r="N421" i="2"/>
  <c r="N419" i="2"/>
  <c r="N417" i="2"/>
  <c r="N415" i="2"/>
  <c r="N413" i="2"/>
  <c r="N411" i="2"/>
  <c r="N409" i="2"/>
  <c r="N407" i="2"/>
  <c r="N405" i="2"/>
  <c r="N403" i="2"/>
  <c r="N401" i="2"/>
  <c r="N399" i="2"/>
  <c r="N397" i="2"/>
  <c r="N395" i="2"/>
  <c r="N393" i="2"/>
  <c r="N391" i="2"/>
  <c r="N389" i="2"/>
  <c r="N387" i="2"/>
  <c r="N385" i="2"/>
  <c r="N383" i="2"/>
  <c r="N381" i="2"/>
  <c r="N379" i="2"/>
  <c r="N377" i="2"/>
  <c r="N375" i="2"/>
  <c r="N373" i="2"/>
  <c r="N371" i="2"/>
  <c r="N369" i="2"/>
  <c r="N367" i="2"/>
  <c r="N365" i="2"/>
  <c r="N363" i="2"/>
  <c r="N361" i="2"/>
  <c r="N359" i="2"/>
  <c r="N357" i="2"/>
  <c r="N355" i="2"/>
  <c r="N353" i="2"/>
  <c r="N351" i="2"/>
  <c r="N349" i="2"/>
  <c r="N347" i="2"/>
  <c r="N345" i="2"/>
  <c r="N343" i="2"/>
  <c r="N341" i="2"/>
  <c r="N339" i="2"/>
  <c r="N337" i="2"/>
  <c r="N335" i="2"/>
  <c r="N333" i="2"/>
  <c r="N331" i="2"/>
  <c r="N329" i="2"/>
  <c r="N327" i="2"/>
  <c r="N325" i="2"/>
  <c r="N323" i="2"/>
  <c r="N321" i="2"/>
  <c r="N319" i="2"/>
  <c r="N317" i="2"/>
  <c r="N315" i="2"/>
  <c r="N313" i="2"/>
  <c r="N311" i="2"/>
  <c r="N516" i="2"/>
  <c r="N478" i="2"/>
  <c r="N452" i="2"/>
  <c r="N432" i="2"/>
  <c r="N416" i="2"/>
  <c r="N400" i="2"/>
  <c r="N384" i="2"/>
  <c r="N368" i="2"/>
  <c r="N352" i="2"/>
  <c r="N336" i="2"/>
  <c r="N320" i="2"/>
  <c r="N600" i="2"/>
  <c r="N542" i="2"/>
  <c r="N518" i="2"/>
  <c r="N498" i="2"/>
  <c r="N472" i="2"/>
  <c r="N454" i="2"/>
  <c r="N434" i="2"/>
  <c r="N418" i="2"/>
  <c r="N402" i="2"/>
  <c r="N386" i="2"/>
  <c r="N370" i="2"/>
  <c r="N354" i="2"/>
  <c r="N338" i="2"/>
  <c r="N322" i="2"/>
  <c r="N558" i="2"/>
  <c r="N536" i="2"/>
  <c r="N526" i="2"/>
  <c r="N500" i="2"/>
  <c r="N462" i="2"/>
  <c r="N436" i="2"/>
  <c r="N420" i="2"/>
  <c r="N404" i="2"/>
  <c r="N388" i="2"/>
  <c r="N372" i="2"/>
  <c r="N356" i="2"/>
  <c r="N340" i="2"/>
  <c r="N324" i="2"/>
  <c r="N552" i="2"/>
  <c r="N520" i="2"/>
  <c r="N502" i="2"/>
  <c r="N482" i="2"/>
  <c r="N456" i="2"/>
  <c r="N438" i="2"/>
  <c r="N422" i="2"/>
  <c r="N406" i="2"/>
  <c r="N390" i="2"/>
  <c r="N374" i="2"/>
  <c r="N358" i="2"/>
  <c r="N342" i="2"/>
  <c r="N326" i="2"/>
  <c r="N310" i="2"/>
  <c r="N308" i="2"/>
  <c r="N306" i="2"/>
  <c r="N304" i="2"/>
  <c r="N302" i="2"/>
  <c r="N300" i="2"/>
  <c r="N298" i="2"/>
  <c r="N296" i="2"/>
  <c r="N294" i="2"/>
  <c r="N292" i="2"/>
  <c r="N290" i="2"/>
  <c r="N288" i="2"/>
  <c r="N286" i="2"/>
  <c r="N284" i="2"/>
  <c r="N282" i="2"/>
  <c r="N280" i="2"/>
  <c r="N278" i="2"/>
  <c r="N276" i="2"/>
  <c r="N274" i="2"/>
  <c r="N272" i="2"/>
  <c r="N270" i="2"/>
  <c r="N268" i="2"/>
  <c r="N266" i="2"/>
  <c r="N264" i="2"/>
  <c r="N262" i="2"/>
  <c r="N260" i="2"/>
  <c r="N258" i="2"/>
  <c r="N256" i="2"/>
  <c r="N254" i="2"/>
  <c r="N252" i="2"/>
  <c r="N250" i="2"/>
  <c r="N248" i="2"/>
  <c r="N246" i="2"/>
  <c r="N244" i="2"/>
  <c r="N242" i="2"/>
  <c r="N240" i="2"/>
  <c r="N238" i="2"/>
  <c r="N236" i="2"/>
  <c r="N234" i="2"/>
  <c r="N232" i="2"/>
  <c r="N230" i="2"/>
  <c r="N228" i="2"/>
  <c r="N226" i="2"/>
  <c r="N224" i="2"/>
  <c r="N222" i="2"/>
  <c r="N220" i="2"/>
  <c r="N218" i="2"/>
  <c r="N216" i="2"/>
  <c r="N214" i="2"/>
  <c r="N212" i="2"/>
  <c r="N210" i="2"/>
  <c r="N208" i="2"/>
  <c r="N206" i="2"/>
  <c r="N204" i="2"/>
  <c r="N202" i="2"/>
  <c r="N200" i="2"/>
  <c r="N198" i="2"/>
  <c r="N196" i="2"/>
  <c r="N194" i="2"/>
  <c r="N192" i="2"/>
  <c r="N190" i="2"/>
  <c r="N188" i="2"/>
  <c r="N186" i="2"/>
  <c r="N184" i="2"/>
  <c r="N182" i="2"/>
  <c r="N180" i="2"/>
  <c r="N178" i="2"/>
  <c r="N176" i="2"/>
  <c r="N174" i="2"/>
  <c r="N172" i="2"/>
  <c r="N170" i="2"/>
  <c r="N574" i="2"/>
  <c r="N510" i="2"/>
  <c r="N484" i="2"/>
  <c r="N446" i="2"/>
  <c r="N424" i="2"/>
  <c r="N408" i="2"/>
  <c r="N392" i="2"/>
  <c r="N376" i="2"/>
  <c r="N360" i="2"/>
  <c r="N344" i="2"/>
  <c r="N328" i="2"/>
  <c r="N312" i="2"/>
  <c r="N568" i="2"/>
  <c r="N546" i="2"/>
  <c r="N530" i="2"/>
  <c r="N504" i="2"/>
  <c r="N486" i="2"/>
  <c r="N466" i="2"/>
  <c r="N440" i="2"/>
  <c r="N426" i="2"/>
  <c r="N410" i="2"/>
  <c r="N394" i="2"/>
  <c r="N378" i="2"/>
  <c r="N362" i="2"/>
  <c r="N346" i="2"/>
  <c r="N330" i="2"/>
  <c r="N314" i="2"/>
  <c r="N584" i="2"/>
  <c r="N514" i="2"/>
  <c r="N488" i="2"/>
  <c r="N470" i="2"/>
  <c r="N450" i="2"/>
  <c r="N430" i="2"/>
  <c r="N414" i="2"/>
  <c r="N398" i="2"/>
  <c r="N382" i="2"/>
  <c r="N366" i="2"/>
  <c r="N350" i="2"/>
  <c r="N334" i="2"/>
  <c r="N318" i="2"/>
  <c r="N309" i="2"/>
  <c r="N307" i="2"/>
  <c r="N305" i="2"/>
  <c r="N303" i="2"/>
  <c r="N301" i="2"/>
  <c r="N299" i="2"/>
  <c r="N297" i="2"/>
  <c r="N295" i="2"/>
  <c r="N293" i="2"/>
  <c r="N291" i="2"/>
  <c r="N289" i="2"/>
  <c r="N287" i="2"/>
  <c r="N285" i="2"/>
  <c r="N283" i="2"/>
  <c r="N281" i="2"/>
  <c r="N279" i="2"/>
  <c r="N277" i="2"/>
  <c r="N275" i="2"/>
  <c r="N273" i="2"/>
  <c r="N271" i="2"/>
  <c r="N269" i="2"/>
  <c r="N267" i="2"/>
  <c r="N265" i="2"/>
  <c r="N263" i="2"/>
  <c r="N261" i="2"/>
  <c r="N259" i="2"/>
  <c r="N257" i="2"/>
  <c r="N255" i="2"/>
  <c r="N253" i="2"/>
  <c r="N251" i="2"/>
  <c r="N249" i="2"/>
  <c r="N247" i="2"/>
  <c r="N245" i="2"/>
  <c r="N243" i="2"/>
  <c r="N241" i="2"/>
  <c r="N239" i="2"/>
  <c r="N237" i="2"/>
  <c r="N235" i="2"/>
  <c r="N233" i="2"/>
  <c r="N231" i="2"/>
  <c r="N229" i="2"/>
  <c r="N227" i="2"/>
  <c r="N225" i="2"/>
  <c r="N223" i="2"/>
  <c r="N221" i="2"/>
  <c r="N219" i="2"/>
  <c r="N217" i="2"/>
  <c r="N215" i="2"/>
  <c r="N213" i="2"/>
  <c r="N211" i="2"/>
  <c r="N209" i="2"/>
  <c r="N207" i="2"/>
  <c r="N205" i="2"/>
  <c r="N203" i="2"/>
  <c r="N201" i="2"/>
  <c r="N199" i="2"/>
  <c r="N197" i="2"/>
  <c r="N195" i="2"/>
  <c r="N193" i="2"/>
  <c r="N191" i="2"/>
  <c r="N189" i="2"/>
  <c r="N187" i="2"/>
  <c r="N185" i="2"/>
  <c r="N183" i="2"/>
  <c r="N181" i="2"/>
  <c r="N179" i="2"/>
  <c r="N9" i="2"/>
  <c r="N21" i="2"/>
  <c r="N37" i="2"/>
  <c r="N43" i="2"/>
  <c r="N49" i="2"/>
  <c r="N57" i="2"/>
  <c r="N61" i="2"/>
  <c r="N77" i="2"/>
  <c r="N95" i="2"/>
  <c r="N103" i="2"/>
  <c r="N117" i="2"/>
  <c r="N129" i="2"/>
  <c r="N131" i="2"/>
  <c r="N135" i="2"/>
  <c r="N143" i="2"/>
  <c r="N151" i="2"/>
  <c r="N155" i="2"/>
  <c r="N169" i="2"/>
  <c r="N175" i="2"/>
  <c r="N412" i="2"/>
  <c r="N468" i="2"/>
  <c r="N13" i="2"/>
  <c r="N23" i="2"/>
  <c r="N27" i="2"/>
  <c r="N39" i="2"/>
  <c r="N45" i="2"/>
  <c r="N67" i="2"/>
  <c r="N85" i="2"/>
  <c r="N99" i="2"/>
  <c r="N107" i="2"/>
  <c r="N125" i="2"/>
  <c r="N137" i="2"/>
  <c r="N161" i="2"/>
  <c r="N494" i="2"/>
  <c r="N6" i="2"/>
  <c r="N10" i="2"/>
  <c r="N14" i="2"/>
  <c r="N20" i="2"/>
  <c r="N28" i="2"/>
  <c r="N34" i="2"/>
  <c r="N40" i="2"/>
  <c r="N42" i="2"/>
  <c r="N50" i="2"/>
  <c r="N58" i="2"/>
  <c r="N64" i="2"/>
  <c r="N70" i="2"/>
  <c r="N76" i="2"/>
  <c r="N86" i="2"/>
  <c r="N92" i="2"/>
  <c r="N100" i="2"/>
  <c r="N106" i="2"/>
  <c r="N108" i="2"/>
  <c r="N114" i="2"/>
  <c r="N118" i="2"/>
  <c r="N122" i="2"/>
  <c r="N128" i="2"/>
  <c r="N134" i="2"/>
  <c r="N140" i="2"/>
  <c r="N146" i="2"/>
  <c r="N177" i="2"/>
  <c r="N173" i="2"/>
  <c r="N428" i="2"/>
  <c r="N11" i="2"/>
  <c r="N25" i="2"/>
  <c r="N35" i="2"/>
  <c r="N59" i="2"/>
  <c r="N71" i="2"/>
  <c r="N81" i="2"/>
  <c r="N89" i="2"/>
  <c r="N97" i="2"/>
  <c r="N111" i="2"/>
  <c r="N115" i="2"/>
  <c r="N127" i="2"/>
  <c r="N133" i="2"/>
  <c r="N145" i="2"/>
  <c r="N153" i="2"/>
  <c r="N159" i="2"/>
  <c r="N165" i="2"/>
  <c r="N380" i="2"/>
  <c r="N12" i="2"/>
  <c r="N18" i="2"/>
  <c r="N24" i="2"/>
  <c r="N26" i="2"/>
  <c r="N32" i="2"/>
  <c r="N38" i="2"/>
  <c r="N48" i="2"/>
  <c r="N54" i="2"/>
  <c r="N60" i="2"/>
  <c r="N66" i="2"/>
  <c r="N72" i="2"/>
  <c r="N78" i="2"/>
  <c r="N84" i="2"/>
  <c r="N90" i="2"/>
  <c r="N94" i="2"/>
  <c r="N98" i="2"/>
  <c r="N104" i="2"/>
  <c r="N110" i="2"/>
  <c r="N120" i="2"/>
  <c r="N126" i="2"/>
  <c r="N132" i="2"/>
  <c r="N138" i="2"/>
  <c r="J605" i="2"/>
  <c r="N171" i="2"/>
  <c r="H605" i="2"/>
</calcChain>
</file>

<file path=xl/sharedStrings.xml><?xml version="1.0" encoding="utf-8"?>
<sst xmlns="http://schemas.openxmlformats.org/spreadsheetml/2006/main" count="1866" uniqueCount="136">
  <si>
    <t>SISTEMA INTELIGENTE DE MONITOREO DE AFORO EN TIEMPO REAL</t>
  </si>
  <si>
    <t>Resumen Ejecutivo de Desempeño y Calibración (Muestra Hora Pico: 07:00 a 08:00 a.m. | 10 Días)</t>
  </si>
  <si>
    <t>CONFIGURACIÓN DE PARÁMETROS OPERATIVOS (LOBBY)</t>
  </si>
  <si>
    <t>Capacidad Máxima del Vestíbulo</t>
  </si>
  <si>
    <t>Personas</t>
  </si>
  <si>
    <t>Parámetro editable de diseño</t>
  </si>
  <si>
    <t>Umbral de Alerta Temprana (80%)</t>
  </si>
  <si>
    <t>Punto de pre-activación de alertas</t>
  </si>
  <si>
    <t>Umbral de Alerta Crítica (90%)</t>
  </si>
  <si>
    <t>Punto de activación de alarma de saturación</t>
  </si>
  <si>
    <t>MÉTRICAS CONSOLIDADAS DE DESEMPEÑO</t>
  </si>
  <si>
    <t>Total de Minutos Analizados (N)</t>
  </si>
  <si>
    <t>Minutos de video efectivo (10 días x 60 min)</t>
  </si>
  <si>
    <t>Metodología Tesis</t>
  </si>
  <si>
    <t>Total de Tránsitos Manuales (O1)</t>
  </si>
  <si>
    <t>Línea base observada acumulada</t>
  </si>
  <si>
    <t>Total de Tránsitos YOLOv8 (O2)</t>
  </si>
  <si>
    <t>Conteo dinámico por IA acumulado</t>
  </si>
  <si>
    <t>Error Absoluto Medio (MAE)</t>
  </si>
  <si>
    <t>Desviación promedio en personas/minuto</t>
  </si>
  <si>
    <t>Error Porcentual Absoluto Medio (MAPE)</t>
  </si>
  <si>
    <t>Margen de error relativo general</t>
  </si>
  <si>
    <t>Precisión de Conteo General (%)</t>
  </si>
  <si>
    <t>Exactitud global del conteo dinámico</t>
  </si>
  <si>
    <t>Velocidad de Inferencia Promedio</t>
  </si>
  <si>
    <t>Tasa de cuadros por segundo (FPS) en el borde</t>
  </si>
  <si>
    <t>Latencia Promedio de Hardware</t>
  </si>
  <si>
    <t>Tiempo de respuesta del pipeline de IA</t>
  </si>
  <si>
    <t>Tasa de Anonimización Facial</t>
  </si>
  <si>
    <t>Efectividad del difuminado de rostros</t>
  </si>
  <si>
    <t>VALIDACIÓN DE METAS CIENTÍFICAS (CONFIABILIDAD)</t>
  </si>
  <si>
    <t>Muestra de Tiempo Completa (N = 600 min)</t>
  </si>
  <si>
    <t>Meta: 10 días continuos de 1 hora</t>
  </si>
  <si>
    <t>Error Absoluto de Conteo (MAE &lt; 1.0)</t>
  </si>
  <si>
    <t>Meta: Margen de error menor a 1 persona/min</t>
  </si>
  <si>
    <t>Velocidad de Tiempo Real (FPS &gt;= 15)</t>
  </si>
  <si>
    <t>Meta: Procesamiento perimetral en tiempo real</t>
  </si>
  <si>
    <t>Anonimización Legal (Ley 29733 &gt;= 95%)</t>
  </si>
  <si>
    <t>Meta: Privacidad de datos e identidad protegida</t>
  </si>
  <si>
    <t>ANEXO 04: SÁBANA DE DATOS EXPERIMENTALES (HORA PICO)</t>
  </si>
  <si>
    <t>Muestra: 10 días hábiles continuos | Turno Mañana: 07:00 a.m. a 08:00 a.m. (Intervalo de 1 minuto)</t>
  </si>
  <si>
    <t>ID Reg.</t>
  </si>
  <si>
    <t>Fecha</t>
  </si>
  <si>
    <t>Día</t>
  </si>
  <si>
    <t>Timestamp</t>
  </si>
  <si>
    <t>Conteo Humano (O1)</t>
  </si>
  <si>
    <t>Conteo YOLOv8 (O2)</t>
  </si>
  <si>
    <t>Error Absoluto (AE)</t>
  </si>
  <si>
    <t>Error Cuadrático (SE)</t>
  </si>
  <si>
    <t>Error Porcentual (PE)</t>
  </si>
  <si>
    <t>Velocidad (FPS)</t>
  </si>
  <si>
    <t>Latencia (s)</t>
  </si>
  <si>
    <t>Anonimización (%)</t>
  </si>
  <si>
    <t>Estado de Alerta</t>
  </si>
  <si>
    <t>2026-08-10</t>
  </si>
  <si>
    <t>Día 1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</si>
  <si>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</si>
  <si>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</si>
  <si>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</si>
  <si>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</si>
  <si>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</si>
  <si>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</si>
  <si>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</si>
  <si>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</si>
  <si>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</si>
  <si>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</si>
  <si>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</si>
  <si>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</si>
  <si>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</si>
  <si>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</si>
  <si>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</si>
  <si>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</si>
  <si>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</si>
  <si>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</si>
  <si>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</si>
  <si>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</si>
  <si>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</si>
  <si>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</si>
  <si>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</si>
  <si>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</si>
  <si>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</si>
  <si>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</si>
  <si>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</si>
  <si>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</si>
  <si>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</si>
  <si>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</si>
  <si>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</si>
  <si>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</si>
  <si>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</si>
  <si>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</si>
  <si>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</si>
  <si>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</si>
  <si>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</si>
  <si>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</si>
  <si>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</si>
  <si>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</si>
  <si>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</si>
  <si>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</si>
  <si>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</si>
  <si>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</si>
  <si>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</si>
  <si>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</si>
  <si>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</si>
  <si>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</si>
  <si>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</si>
  <si>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</si>
  <si>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</si>
  <si>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</si>
  <si>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</si>
  <si>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</si>
  <si>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</si>
  <si>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</si>
  <si>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</si>
  <si>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</si>
  <si>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</si>
  <si>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</si>
  <si>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2026-08-11</t>
  </si>
  <si>
    <t>Día 2</t>
  </si>
  <si>
    <t>2026-08-12</t>
  </si>
  <si>
    <t>Día 3</t>
  </si>
  <si>
    <t>2026-08-13</t>
  </si>
  <si>
    <t>Día 4</t>
  </si>
  <si>
    <t>2026-08-14</t>
  </si>
  <si>
    <t>Día 5</t>
  </si>
  <si>
    <t>2026-08-17</t>
  </si>
  <si>
    <t>Día 6</t>
  </si>
  <si>
    <t>2026-08-18</t>
  </si>
  <si>
    <t>Día 7</t>
  </si>
  <si>
    <t>2026-08-19</t>
  </si>
  <si>
    <t>Día 8</t>
  </si>
  <si>
    <t>2026-08-20</t>
  </si>
  <si>
    <t>Día 9</t>
  </si>
  <si>
    <t>2026-08-21</t>
  </si>
  <si>
    <t>Día 10</t>
  </si>
  <si>
    <t>Total / Promedio Acumulado</t>
  </si>
  <si>
    <t>Soporte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</si>
</sst>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\ &quot;s&quot;"/>
    <numFmt numFmtId="167" formatCode="0.000"/>
  </numFmts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61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5" fillId="3" borderId="1" xfId="0" applyFont="1" applyFill="1" applyBorder="1" applyAlignment="1">
      <alignment horizontal="right" vertical="center"/>
    </xf>
    <xf numFmtId="0" fontId="2" fillId="0" borderId="1" xfId="0" applyFont="1" applyBorder="1"/>
    <xf numFmtId="3" fontId="5" fillId="4" borderId="1" xfId="0" applyNumberFormat="1" applyFont="1" applyFill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167" fontId="4" fillId="6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5" fillId="6" borderId="2" xfId="0" applyFont="1" applyFill="1" applyBorder="1"/>
    <xf numFmtId="0" fontId="0" fillId="6" borderId="2" xfId="0" applyFill="1" applyBorder="1"/>
    <xf numFmtId="3" fontId="5" fillId="6" borderId="2" xfId="0" applyNumberFormat="1" applyFont="1" applyFill="1" applyBorder="1"/>
    <xf numFmtId="2" fontId="5" fillId="6" borderId="2" xfId="0" applyNumberFormat="1" applyFont="1" applyFill="1" applyBorder="1"/>
    <xf numFmtId="164" fontId="5" fillId="6" borderId="2" xfId="0" applyNumberFormat="1" applyFont="1" applyFill="1" applyBorder="1"/>
    <xf numFmtId="165" fontId="5" fillId="6" borderId="2" xfId="0" applyNumberFormat="1" applyFont="1" applyFill="1" applyBorder="1"/>
    <xf numFmtId="167" fontId="5" fillId="6" borderId="2" xfId="0" applyNumberFormat="1" applyFont="1" applyFill="1" applyBorder="1"/>
    <xf numFmtId="0" fontId="5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showGridLines="0" topLeftCell="A7" workbookViewId="0">
      <selection activeCell="C12" sqref="C12"/>
    </sheetView>
  </sheetViews>
  <sheetFormatPr baseColWidth="10" defaultColWidth="9.140625" defaultRowHeight="15" x14ac:dyDescent="0.25"/>
  <cols>
    <col min="1" max="1" width="15" customWidth="1"/>
    <col min="2" max="2" width="38" customWidth="1"/>
    <col min="3" max="3" width="18" customWidth="1"/>
    <col min="4" max="4" width="40" customWidth="1"/>
    <col min="5" max="5" width="32" customWidth="1"/>
  </cols>
  <sheetData>
    <row r="2" spans="2:5" ht="21" x14ac:dyDescent="0.35">
      <c r="B2" s="1" t="s">
        <v>0</v>
      </c>
    </row>
    <row r="3" spans="2:5" x14ac:dyDescent="0.25">
      <c r="B3" s="2" t="s">
        <v>1</v>
      </c>
    </row>
    <row r="5" spans="2:5" x14ac:dyDescent="0.25">
      <c r="B5" s="34" t="s">
        <v>2</v>
      </c>
      <c r="C5" s="35"/>
      <c r="D5" s="35"/>
      <c r="E5" s="35"/>
    </row>
    <row r="6" spans="2:5" x14ac:dyDescent="0.25">
      <c r="B6" s="5" t="s">
        <v>3</v>
      </c>
      <c r="C6" s="6">
        <v>50</v>
      </c>
      <c r="D6" s="7" t="s">
        <v>4</v>
      </c>
      <c r="E6" s="7" t="s">
        <v>5</v>
      </c>
    </row>
    <row r="7" spans="2:5" x14ac:dyDescent="0.25">
      <c r="B7" s="5" t="s">
        <v>6</v>
      </c>
      <c r="C7" s="8">
        <f>C6*0.8</f>
        <v>40</v>
      </c>
      <c r="D7" s="7" t="s">
        <v>4</v>
      </c>
      <c r="E7" s="7" t="s">
        <v>7</v>
      </c>
    </row>
    <row r="8" spans="2:5" x14ac:dyDescent="0.25">
      <c r="B8" s="5" t="s">
        <v>8</v>
      </c>
      <c r="C8" s="8">
        <f>C6*0.9</f>
        <v>45</v>
      </c>
      <c r="D8" s="7" t="s">
        <v>4</v>
      </c>
      <c r="E8" s="7" t="s">
        <v>9</v>
      </c>
    </row>
    <row r="10" spans="2:5" x14ac:dyDescent="0.25">
      <c r="B10" s="32" t="s">
        <v>10</v>
      </c>
      <c r="C10" s="33"/>
      <c r="D10" s="33"/>
      <c r="E10" s="33"/>
    </row>
    <row r="11" spans="2:5" x14ac:dyDescent="0.25">
      <c r="B11" s="5" t="s">
        <v>11</v>
      </c>
      <c r="C11" s="8">
        <f>'Sábana de Datos'!B608</f>
        <v>600</v>
      </c>
      <c r="D11" s="7" t="s">
        <v>12</v>
      </c>
      <c r="E11" s="7" t="s">
        <v>13</v>
      </c>
    </row>
    <row r="12" spans="2:5" x14ac:dyDescent="0.25">
      <c r="B12" s="5" t="s">
        <v>14</v>
      </c>
      <c r="C12" s="8">
        <f>SUM('Sábana de Datos'!F5:F604)</f>
        <v>2074</v>
      </c>
      <c r="D12" s="7" t="s">
        <v>15</v>
      </c>
      <c r="E12" s="7" t="s">
        <v>13</v>
      </c>
    </row>
    <row r="13" spans="2:5" x14ac:dyDescent="0.25">
      <c r="B13" s="5" t="s">
        <v>16</v>
      </c>
      <c r="C13" s="8">
        <f>SUM('Sábana de Datos'!G5:G604)</f>
        <v>2085</v>
      </c>
      <c r="D13" s="7" t="s">
        <v>17</v>
      </c>
      <c r="E13" s="7" t="s">
        <v>13</v>
      </c>
    </row>
    <row r="14" spans="2:5" x14ac:dyDescent="0.25">
      <c r="B14" s="5" t="s">
        <v>18</v>
      </c>
      <c r="C14" s="9">
        <f>AVERAGE('Sábana de Datos'!H5:H604)</f>
        <v>0.10833333333333334</v>
      </c>
      <c r="D14" s="7" t="s">
        <v>19</v>
      </c>
      <c r="E14" s="7" t="s">
        <v>13</v>
      </c>
    </row>
    <row r="15" spans="2:5" x14ac:dyDescent="0.25">
      <c r="B15" s="5" t="s">
        <v>20</v>
      </c>
      <c r="C15" s="10">
        <f>AVERAGE('Sábana de Datos'!J5:J604)</f>
        <v>4.4671356421356417E-2</v>
      </c>
      <c r="D15" s="7" t="s">
        <v>21</v>
      </c>
      <c r="E15" s="7" t="s">
        <v>13</v>
      </c>
    </row>
    <row r="16" spans="2:5" x14ac:dyDescent="0.25">
      <c r="B16" s="5" t="s">
        <v>22</v>
      </c>
      <c r="C16" s="10">
        <f>1-C15</f>
        <v>0.95532864357864355</v>
      </c>
      <c r="D16" s="7" t="s">
        <v>23</v>
      </c>
      <c r="E16" s="7" t="s">
        <v>13</v>
      </c>
    </row>
    <row r="17" spans="2:5" x14ac:dyDescent="0.25">
      <c r="B17" s="5" t="s">
        <v>24</v>
      </c>
      <c r="C17" s="11">
        <f>AVERAGE('Sábana de Datos'!K5:K604)</f>
        <v>27.638999999999978</v>
      </c>
      <c r="D17" s="7" t="s">
        <v>25</v>
      </c>
      <c r="E17" s="7" t="s">
        <v>13</v>
      </c>
    </row>
    <row r="18" spans="2:5" x14ac:dyDescent="0.25">
      <c r="B18" s="5" t="s">
        <v>26</v>
      </c>
      <c r="C18" s="12">
        <f>AVERAGE('Sábana de Datos'!L5:L604)</f>
        <v>0.35473666666666698</v>
      </c>
      <c r="D18" s="7" t="s">
        <v>27</v>
      </c>
      <c r="E18" s="7" t="s">
        <v>13</v>
      </c>
    </row>
    <row r="19" spans="2:5" x14ac:dyDescent="0.25">
      <c r="B19" s="5" t="s">
        <v>28</v>
      </c>
      <c r="C19" s="10">
        <f>AVERAGE('Sábana de Datos'!M5:M604)</f>
        <v>0.97465333333333526</v>
      </c>
      <c r="D19" s="7" t="s">
        <v>29</v>
      </c>
      <c r="E19" s="7" t="s">
        <v>13</v>
      </c>
    </row>
    <row r="21" spans="2:5" x14ac:dyDescent="0.25">
      <c r="B21" s="32" t="s">
        <v>30</v>
      </c>
      <c r="C21" s="33"/>
      <c r="D21" s="33"/>
      <c r="E21" s="33"/>
    </row>
    <row r="22" spans="2:5" x14ac:dyDescent="0.25">
      <c r="B22" s="5" t="s">
        <v>31</v>
      </c>
      <c r="C22" s="13" t="str">
        <f>IF(C11=600, "✅ CUMPLIDO", "❌ REVISAR")</f>
        <v>✅ CUMPLIDO</v>
      </c>
      <c r="D22" s="7" t="s">
        <v>32</v>
      </c>
      <c r="E22" s="4"/>
    </row>
    <row r="23" spans="2:5" x14ac:dyDescent="0.25">
      <c r="B23" s="5" t="s">
        <v>33</v>
      </c>
      <c r="C23" s="13" t="str">
        <f>IF(C14&lt;1, "✅ CUMPLIDO", "❌ REVISAR")</f>
        <v>✅ CUMPLIDO</v>
      </c>
      <c r="D23" s="7" t="s">
        <v>34</v>
      </c>
      <c r="E23" s="4"/>
    </row>
    <row r="24" spans="2:5" x14ac:dyDescent="0.25">
      <c r="B24" s="5" t="s">
        <v>35</v>
      </c>
      <c r="C24" s="13" t="str">
        <f>IF(C17&gt;=15, "✅ CUMPLIDO", "❌ REVISAR")</f>
        <v>✅ CUMPLIDO</v>
      </c>
      <c r="D24" s="7" t="s">
        <v>36</v>
      </c>
      <c r="E24" s="4"/>
    </row>
    <row r="25" spans="2:5" x14ac:dyDescent="0.25">
      <c r="B25" s="5" t="s">
        <v>37</v>
      </c>
      <c r="C25" s="13" t="str">
        <f>IF(C19&gt;=0.95, "✅ CUMPLIDO", "❌ REVISAR")</f>
        <v>✅ CUMPLIDO</v>
      </c>
      <c r="D25" s="7" t="s">
        <v>38</v>
      </c>
      <c r="E25" s="4"/>
    </row>
  </sheetData>
  <mergeCells count="3">
    <mergeCell ref="B10:E10"/>
    <mergeCell ref="B21:E21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608"/>
  <sheetViews>
    <sheetView showGridLines="0" tabSelected="1" workbookViewId="0">
      <pane xSplit="1" ySplit="4" topLeftCell="B14" activePane="bottomRight" state="frozen"/>
      <selection pane="topRight"/>
      <selection pane="bottomLeft"/>
      <selection pane="bottomRight" activeCell="B4" sqref="B4:N24"/>
    </sheetView>
  </sheetViews>
  <sheetFormatPr baseColWidth="10" defaultColWidth="9.140625" defaultRowHeight="15" x14ac:dyDescent="0.25"/>
  <cols>
    <col min="2" max="2" width="10" customWidth="1"/>
    <col min="3" max="3" width="14" customWidth="1"/>
    <col min="4" max="5" width="12" customWidth="1"/>
    <col min="6" max="10" width="22" customWidth="1"/>
    <col min="11" max="12" width="18" customWidth="1"/>
    <col min="13" max="13" width="20" customWidth="1"/>
    <col min="14" max="14" width="18" customWidth="1"/>
  </cols>
  <sheetData>
    <row r="1" spans="2:14" ht="21" x14ac:dyDescent="0.35">
      <c r="B1" s="1" t="s">
        <v>39</v>
      </c>
    </row>
    <row r="2" spans="2:14" x14ac:dyDescent="0.25">
      <c r="B2" s="2" t="s">
        <v>40</v>
      </c>
    </row>
    <row r="4" spans="2:14" ht="24.95" customHeight="1" x14ac:dyDescent="0.25"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</row>
    <row r="5" spans="2:14" x14ac:dyDescent="0.25">
      <c r="B5" s="14">
        <v>1</v>
      </c>
      <c r="C5" s="14" t="s">
        <v>54</v>
      </c>
      <c r="D5" s="14" t="s">
        <v>55</v>
      </c>
      <c r="E5" s="14" t="s">
        <v>56</v>
      </c>
      <c r="F5" s="15">
        <v>3</v>
      </c>
      <c r="G5" s="15">
        <v>3</v>
      </c>
      <c r="H5" s="15">
        <f t="shared" ref="H5:H68" si="0">ABS(G5-F5)</f>
        <v>0</v>
      </c>
      <c r="I5" s="15">
        <f t="shared" ref="I5:I68" si="1">(G5-F5)^2</f>
        <v>0</v>
      </c>
      <c r="J5" s="16">
        <f t="shared" ref="J5:J68" si="2">IFERROR(H5/F5,0)</f>
        <v>0</v>
      </c>
      <c r="K5" s="17">
        <v>27</v>
      </c>
      <c r="L5" s="18">
        <v>0.33700000000000002</v>
      </c>
      <c r="M5" s="16">
        <v>0.98699999999999999</v>
      </c>
      <c r="N5" s="14" t="str">
        <f>IF(G5&gt;='Resumen Ejecutivo'!$C$8, "CRÍTICA", IF(G5&gt;='Resumen Ejecutivo'!$C$7, "TEMPRANA", "NORMAL"))</f>
        <v>NORMAL</v>
      </c>
    </row>
    <row r="6" spans="2:14" x14ac:dyDescent="0.25">
      <c r="B6" s="19">
        <v>2</v>
      </c>
      <c r="C6" s="19" t="s">
        <v>54</v>
      </c>
      <c r="D6" s="19" t="s">
        <v>55</v>
      </c>
      <c r="E6" s="19" t="s">
        <v>57</v>
      </c>
      <c r="F6" s="20">
        <v>4</v>
      </c>
      <c r="G6" s="20">
        <v>4</v>
      </c>
      <c r="H6" s="20">
        <f t="shared" si="0"/>
        <v>0</v>
      </c>
      <c r="I6" s="20">
        <f t="shared" si="1"/>
        <v>0</v>
      </c>
      <c r="J6" s="21">
        <f t="shared" si="2"/>
        <v>0</v>
      </c>
      <c r="K6" s="22">
        <v>27.7</v>
      </c>
      <c r="L6" s="23">
        <v>0.36699999999999999</v>
      </c>
      <c r="M6" s="21">
        <v>0.97099999999999997</v>
      </c>
      <c r="N6" s="19" t="str">
        <f>IF(G6&gt;='Resumen Ejecutivo'!$C$8, "CRÍTICA", IF(G6&gt;='Resumen Ejecutivo'!$C$7, "TEMPRANA", "NORMAL"))</f>
        <v>NORMAL</v>
      </c>
    </row>
    <row r="7" spans="2:14" x14ac:dyDescent="0.25">
      <c r="B7" s="14">
        <v>3</v>
      </c>
      <c r="C7" s="14" t="s">
        <v>54</v>
      </c>
      <c r="D7" s="14" t="s">
        <v>55</v>
      </c>
      <c r="E7" s="14" t="s">
        <v>58</v>
      </c>
      <c r="F7" s="15">
        <v>1</v>
      </c>
      <c r="G7" s="15">
        <v>1</v>
      </c>
      <c r="H7" s="15">
        <f t="shared" si="0"/>
        <v>0</v>
      </c>
      <c r="I7" s="15">
        <f t="shared" si="1"/>
        <v>0</v>
      </c>
      <c r="J7" s="16">
        <f t="shared" si="2"/>
        <v>0</v>
      </c>
      <c r="K7" s="17">
        <v>27.7</v>
      </c>
      <c r="L7" s="18">
        <v>0.34799999999999998</v>
      </c>
      <c r="M7" s="16">
        <v>1</v>
      </c>
      <c r="N7" s="14" t="str">
        <f>IF(G7&gt;='Resumen Ejecutivo'!$C$8, "CRÍTICA", IF(G7&gt;='Resumen Ejecutivo'!$C$7, "TEMPRANA", "NORMAL"))</f>
        <v>NORMAL</v>
      </c>
    </row>
    <row r="8" spans="2:14" x14ac:dyDescent="0.25">
      <c r="B8" s="19">
        <v>4</v>
      </c>
      <c r="C8" s="19" t="s">
        <v>54</v>
      </c>
      <c r="D8" s="19" t="s">
        <v>55</v>
      </c>
      <c r="E8" s="19" t="s">
        <v>59</v>
      </c>
      <c r="F8" s="20">
        <v>3</v>
      </c>
      <c r="G8" s="20">
        <v>4</v>
      </c>
      <c r="H8" s="20">
        <f t="shared" si="0"/>
        <v>1</v>
      </c>
      <c r="I8" s="20">
        <f t="shared" si="1"/>
        <v>1</v>
      </c>
      <c r="J8" s="21">
        <f t="shared" si="2"/>
        <v>0.33333333333333331</v>
      </c>
      <c r="K8" s="22">
        <v>27</v>
      </c>
      <c r="L8" s="23">
        <v>0.35499999999999998</v>
      </c>
      <c r="M8" s="21">
        <v>0.98799999999999999</v>
      </c>
      <c r="N8" s="19" t="str">
        <f>IF(G8&gt;='Resumen Ejecutivo'!$C$8, "CRÍTICA", IF(G8&gt;='Resumen Ejecutivo'!$C$7, "TEMPRANA", "NORMAL"))</f>
        <v>NORMAL</v>
      </c>
    </row>
    <row r="9" spans="2:14" x14ac:dyDescent="0.25">
      <c r="B9" s="14">
        <v>5</v>
      </c>
      <c r="C9" s="14" t="s">
        <v>54</v>
      </c>
      <c r="D9" s="14" t="s">
        <v>55</v>
      </c>
      <c r="E9" s="14" t="s">
        <v>60</v>
      </c>
      <c r="F9" s="15">
        <v>1</v>
      </c>
      <c r="G9" s="15">
        <v>1</v>
      </c>
      <c r="H9" s="15">
        <f t="shared" si="0"/>
        <v>0</v>
      </c>
      <c r="I9" s="15">
        <f t="shared" si="1"/>
        <v>0</v>
      </c>
      <c r="J9" s="16">
        <f t="shared" si="2"/>
        <v>0</v>
      </c>
      <c r="K9" s="17">
        <v>28.2</v>
      </c>
      <c r="L9" s="18">
        <v>0.33800000000000002</v>
      </c>
      <c r="M9" s="16">
        <v>0.95799999999999996</v>
      </c>
      <c r="N9" s="14" t="str">
        <f>IF(G9&gt;='Resumen Ejecutivo'!$C$8, "CRÍTICA", IF(G9&gt;='Resumen Ejecutivo'!$C$7, "TEMPRANA", "NORMAL"))</f>
        <v>NORMAL</v>
      </c>
    </row>
    <row r="10" spans="2:14" x14ac:dyDescent="0.25">
      <c r="B10" s="19">
        <v>6</v>
      </c>
      <c r="C10" s="19" t="s">
        <v>54</v>
      </c>
      <c r="D10" s="19" t="s">
        <v>55</v>
      </c>
      <c r="E10" s="19" t="s">
        <v>61</v>
      </c>
      <c r="F10" s="20">
        <v>0</v>
      </c>
      <c r="G10" s="20">
        <v>0</v>
      </c>
      <c r="H10" s="20">
        <f t="shared" si="0"/>
        <v>0</v>
      </c>
      <c r="I10" s="20">
        <f t="shared" si="1"/>
        <v>0</v>
      </c>
      <c r="J10" s="21">
        <f t="shared" si="2"/>
        <v>0</v>
      </c>
      <c r="K10" s="22">
        <v>27.9</v>
      </c>
      <c r="L10" s="23">
        <v>0.36</v>
      </c>
      <c r="M10" s="21">
        <v>0.96899999999999997</v>
      </c>
      <c r="N10" s="19" t="str">
        <f>IF(G10&gt;='Resumen Ejecutivo'!$C$8, "CRÍTICA", IF(G10&gt;='Resumen Ejecutivo'!$C$7, "TEMPRANA", "NORMAL"))</f>
        <v>NORMAL</v>
      </c>
    </row>
    <row r="11" spans="2:14" x14ac:dyDescent="0.25">
      <c r="B11" s="14">
        <v>7</v>
      </c>
      <c r="C11" s="14" t="s">
        <v>54</v>
      </c>
      <c r="D11" s="14" t="s">
        <v>55</v>
      </c>
      <c r="E11" s="14" t="s">
        <v>62</v>
      </c>
      <c r="F11" s="15">
        <v>1</v>
      </c>
      <c r="G11" s="15">
        <v>1</v>
      </c>
      <c r="H11" s="15">
        <f t="shared" si="0"/>
        <v>0</v>
      </c>
      <c r="I11" s="15">
        <f t="shared" si="1"/>
        <v>0</v>
      </c>
      <c r="J11" s="16">
        <f t="shared" si="2"/>
        <v>0</v>
      </c>
      <c r="K11" s="17">
        <v>27.8</v>
      </c>
      <c r="L11" s="18">
        <v>0.35299999999999998</v>
      </c>
      <c r="M11" s="16">
        <v>0.96299999999999997</v>
      </c>
      <c r="N11" s="14" t="str">
        <f>IF(G11&gt;='Resumen Ejecutivo'!$C$8, "CRÍTICA", IF(G11&gt;='Resumen Ejecutivo'!$C$7, "TEMPRANA", "NORMAL"))</f>
        <v>NORMAL</v>
      </c>
    </row>
    <row r="12" spans="2:14" x14ac:dyDescent="0.25">
      <c r="B12" s="19">
        <v>8</v>
      </c>
      <c r="C12" s="19" t="s">
        <v>54</v>
      </c>
      <c r="D12" s="19" t="s">
        <v>55</v>
      </c>
      <c r="E12" s="19" t="s">
        <v>63</v>
      </c>
      <c r="F12" s="20">
        <v>0</v>
      </c>
      <c r="G12" s="20">
        <v>0</v>
      </c>
      <c r="H12" s="20">
        <f t="shared" si="0"/>
        <v>0</v>
      </c>
      <c r="I12" s="20">
        <f t="shared" si="1"/>
        <v>0</v>
      </c>
      <c r="J12" s="21">
        <f t="shared" si="2"/>
        <v>0</v>
      </c>
      <c r="K12" s="22">
        <v>27.7</v>
      </c>
      <c r="L12" s="23">
        <v>0.377</v>
      </c>
      <c r="M12" s="21">
        <v>0.98399999999999999</v>
      </c>
      <c r="N12" s="19" t="str">
        <f>IF(G12&gt;='Resumen Ejecutivo'!$C$8, "CRÍTICA", IF(G12&gt;='Resumen Ejecutivo'!$C$7, "TEMPRANA", "NORMAL"))</f>
        <v>NORMAL</v>
      </c>
    </row>
    <row r="13" spans="2:14" x14ac:dyDescent="0.25">
      <c r="B13" s="14">
        <v>9</v>
      </c>
      <c r="C13" s="14" t="s">
        <v>54</v>
      </c>
      <c r="D13" s="14" t="s">
        <v>55</v>
      </c>
      <c r="E13" s="14" t="s">
        <v>64</v>
      </c>
      <c r="F13" s="15">
        <v>1</v>
      </c>
      <c r="G13" s="15">
        <v>2</v>
      </c>
      <c r="H13" s="15">
        <f t="shared" si="0"/>
        <v>1</v>
      </c>
      <c r="I13" s="15">
        <f t="shared" si="1"/>
        <v>1</v>
      </c>
      <c r="J13" s="16">
        <f t="shared" si="2"/>
        <v>1</v>
      </c>
      <c r="K13" s="17">
        <v>27</v>
      </c>
      <c r="L13" s="18">
        <v>0.374</v>
      </c>
      <c r="M13" s="16">
        <v>0.98799999999999999</v>
      </c>
      <c r="N13" s="14" t="str">
        <f>IF(G13&gt;='Resumen Ejecutivo'!$C$8, "CRÍTICA", IF(G13&gt;='Resumen Ejecutivo'!$C$7, "TEMPRANA", "NORMAL"))</f>
        <v>NORMAL</v>
      </c>
    </row>
    <row r="14" spans="2:14" x14ac:dyDescent="0.25">
      <c r="B14" s="19">
        <v>10</v>
      </c>
      <c r="C14" s="19" t="s">
        <v>54</v>
      </c>
      <c r="D14" s="19" t="s">
        <v>55</v>
      </c>
      <c r="E14" s="19" t="s">
        <v>65</v>
      </c>
      <c r="F14" s="20">
        <v>1</v>
      </c>
      <c r="G14" s="20">
        <v>1</v>
      </c>
      <c r="H14" s="20">
        <f t="shared" si="0"/>
        <v>0</v>
      </c>
      <c r="I14" s="20">
        <f t="shared" si="1"/>
        <v>0</v>
      </c>
      <c r="J14" s="21">
        <f t="shared" si="2"/>
        <v>0</v>
      </c>
      <c r="K14" s="22">
        <v>28</v>
      </c>
      <c r="L14" s="23">
        <v>0.34699999999999998</v>
      </c>
      <c r="M14" s="21">
        <v>0.96499999999999997</v>
      </c>
      <c r="N14" s="19" t="str">
        <f>IF(G14&gt;='Resumen Ejecutivo'!$C$8, "CRÍTICA", IF(G14&gt;='Resumen Ejecutivo'!$C$7, "TEMPRANA", "NORMAL"))</f>
        <v>NORMAL</v>
      </c>
    </row>
    <row r="15" spans="2:14" x14ac:dyDescent="0.25">
      <c r="B15" s="14">
        <v>11</v>
      </c>
      <c r="C15" s="14" t="s">
        <v>54</v>
      </c>
      <c r="D15" s="14" t="s">
        <v>55</v>
      </c>
      <c r="E15" s="14" t="s">
        <v>66</v>
      </c>
      <c r="F15" s="15">
        <v>2</v>
      </c>
      <c r="G15" s="15">
        <v>2</v>
      </c>
      <c r="H15" s="15">
        <f t="shared" si="0"/>
        <v>0</v>
      </c>
      <c r="I15" s="15">
        <f t="shared" si="1"/>
        <v>0</v>
      </c>
      <c r="J15" s="16">
        <f t="shared" si="2"/>
        <v>0</v>
      </c>
      <c r="K15" s="17">
        <v>27.1</v>
      </c>
      <c r="L15" s="18">
        <v>0.33</v>
      </c>
      <c r="M15" s="16">
        <v>0.98599999999999999</v>
      </c>
      <c r="N15" s="14" t="str">
        <f>IF(G15&gt;='Resumen Ejecutivo'!$C$8, "CRÍTICA", IF(G15&gt;='Resumen Ejecutivo'!$C$7, "TEMPRANA", "NORMAL"))</f>
        <v>NORMAL</v>
      </c>
    </row>
    <row r="16" spans="2:14" x14ac:dyDescent="0.25">
      <c r="B16" s="19">
        <v>12</v>
      </c>
      <c r="C16" s="19" t="s">
        <v>54</v>
      </c>
      <c r="D16" s="19" t="s">
        <v>55</v>
      </c>
      <c r="E16" s="19" t="s">
        <v>67</v>
      </c>
      <c r="F16" s="20">
        <v>3</v>
      </c>
      <c r="G16" s="20">
        <v>3</v>
      </c>
      <c r="H16" s="20">
        <f t="shared" si="0"/>
        <v>0</v>
      </c>
      <c r="I16" s="20">
        <f t="shared" si="1"/>
        <v>0</v>
      </c>
      <c r="J16" s="21">
        <f t="shared" si="2"/>
        <v>0</v>
      </c>
      <c r="K16" s="22">
        <v>28</v>
      </c>
      <c r="L16" s="23">
        <v>0.379</v>
      </c>
      <c r="M16" s="21">
        <v>0.98799999999999999</v>
      </c>
      <c r="N16" s="19" t="str">
        <f>IF(G16&gt;='Resumen Ejecutivo'!$C$8, "CRÍTICA", IF(G16&gt;='Resumen Ejecutivo'!$C$7, "TEMPRANA", "NORMAL"))</f>
        <v>NORMAL</v>
      </c>
    </row>
    <row r="17" spans="2:14" x14ac:dyDescent="0.25">
      <c r="B17" s="14">
        <v>13</v>
      </c>
      <c r="C17" s="14" t="s">
        <v>54</v>
      </c>
      <c r="D17" s="14" t="s">
        <v>55</v>
      </c>
      <c r="E17" s="14" t="s">
        <v>68</v>
      </c>
      <c r="F17" s="15">
        <v>0</v>
      </c>
      <c r="G17" s="15">
        <v>0</v>
      </c>
      <c r="H17" s="15">
        <f t="shared" si="0"/>
        <v>0</v>
      </c>
      <c r="I17" s="15">
        <f t="shared" si="1"/>
        <v>0</v>
      </c>
      <c r="J17" s="16">
        <f t="shared" si="2"/>
        <v>0</v>
      </c>
      <c r="K17" s="17">
        <v>27.6</v>
      </c>
      <c r="L17" s="18">
        <v>0.33500000000000002</v>
      </c>
      <c r="M17" s="16">
        <v>0.98099999999999998</v>
      </c>
      <c r="N17" s="14" t="str">
        <f>IF(G17&gt;='Resumen Ejecutivo'!$C$8, "CRÍTICA", IF(G17&gt;='Resumen Ejecutivo'!$C$7, "TEMPRANA", "NORMAL"))</f>
        <v>NORMAL</v>
      </c>
    </row>
    <row r="18" spans="2:14" x14ac:dyDescent="0.25">
      <c r="B18" s="19">
        <v>14</v>
      </c>
      <c r="C18" s="19" t="s">
        <v>54</v>
      </c>
      <c r="D18" s="19" t="s">
        <v>55</v>
      </c>
      <c r="E18" s="19" t="s">
        <v>69</v>
      </c>
      <c r="F18" s="20">
        <v>0</v>
      </c>
      <c r="G18" s="20">
        <v>0</v>
      </c>
      <c r="H18" s="20">
        <f t="shared" si="0"/>
        <v>0</v>
      </c>
      <c r="I18" s="20">
        <f t="shared" si="1"/>
        <v>0</v>
      </c>
      <c r="J18" s="21">
        <f t="shared" si="2"/>
        <v>0</v>
      </c>
      <c r="K18" s="22">
        <v>28.1</v>
      </c>
      <c r="L18" s="23">
        <v>0.35499999999999998</v>
      </c>
      <c r="M18" s="21">
        <v>0.96</v>
      </c>
      <c r="N18" s="19" t="str">
        <f>IF(G18&gt;='Resumen Ejecutivo'!$C$8, "CRÍTICA", IF(G18&gt;='Resumen Ejecutivo'!$C$7, "TEMPRANA", "NORMAL"))</f>
        <v>NORMAL</v>
      </c>
    </row>
    <row r="19" spans="2:14" x14ac:dyDescent="0.25">
      <c r="B19" s="14">
        <v>15</v>
      </c>
      <c r="C19" s="14" t="s">
        <v>54</v>
      </c>
      <c r="D19" s="14" t="s">
        <v>55</v>
      </c>
      <c r="E19" s="14" t="s">
        <v>70</v>
      </c>
      <c r="F19" s="15">
        <v>1</v>
      </c>
      <c r="G19" s="15">
        <v>1</v>
      </c>
      <c r="H19" s="15">
        <f t="shared" si="0"/>
        <v>0</v>
      </c>
      <c r="I19" s="15">
        <f t="shared" si="1"/>
        <v>0</v>
      </c>
      <c r="J19" s="16">
        <f t="shared" si="2"/>
        <v>0</v>
      </c>
      <c r="K19" s="17">
        <v>27.4</v>
      </c>
      <c r="L19" s="18">
        <v>0.33800000000000002</v>
      </c>
      <c r="M19" s="16">
        <v>0.998</v>
      </c>
      <c r="N19" s="14" t="str">
        <f>IF(G19&gt;='Resumen Ejecutivo'!$C$8, "CRÍTICA", IF(G19&gt;='Resumen Ejecutivo'!$C$7, "TEMPRANA", "NORMAL"))</f>
        <v>NORMAL</v>
      </c>
    </row>
    <row r="20" spans="2:14" x14ac:dyDescent="0.25">
      <c r="B20" s="19">
        <v>16</v>
      </c>
      <c r="C20" s="19" t="s">
        <v>54</v>
      </c>
      <c r="D20" s="19" t="s">
        <v>55</v>
      </c>
      <c r="E20" s="19" t="s">
        <v>71</v>
      </c>
      <c r="F20" s="20">
        <v>3</v>
      </c>
      <c r="G20" s="20">
        <v>3</v>
      </c>
      <c r="H20" s="20">
        <f t="shared" si="0"/>
        <v>0</v>
      </c>
      <c r="I20" s="20">
        <f t="shared" si="1"/>
        <v>0</v>
      </c>
      <c r="J20" s="21">
        <f t="shared" si="2"/>
        <v>0</v>
      </c>
      <c r="K20" s="22">
        <v>28.3</v>
      </c>
      <c r="L20" s="23">
        <v>0.376</v>
      </c>
      <c r="M20" s="21">
        <v>0.98</v>
      </c>
      <c r="N20" s="19" t="str">
        <f>IF(G20&gt;='Resumen Ejecutivo'!$C$8, "CRÍTICA", IF(G20&gt;='Resumen Ejecutivo'!$C$7, "TEMPRANA", "NORMAL"))</f>
        <v>NORMAL</v>
      </c>
    </row>
    <row r="21" spans="2:14" x14ac:dyDescent="0.25">
      <c r="B21" s="14">
        <v>17</v>
      </c>
      <c r="C21" s="14" t="s">
        <v>54</v>
      </c>
      <c r="D21" s="14" t="s">
        <v>55</v>
      </c>
      <c r="E21" s="14" t="s">
        <v>72</v>
      </c>
      <c r="F21" s="15">
        <v>4</v>
      </c>
      <c r="G21" s="15">
        <v>4</v>
      </c>
      <c r="H21" s="15">
        <f t="shared" si="0"/>
        <v>0</v>
      </c>
      <c r="I21" s="15">
        <f t="shared" si="1"/>
        <v>0</v>
      </c>
      <c r="J21" s="16">
        <f t="shared" si="2"/>
        <v>0</v>
      </c>
      <c r="K21" s="17">
        <v>27.6</v>
      </c>
      <c r="L21" s="18">
        <v>0.33600000000000002</v>
      </c>
      <c r="M21" s="16">
        <v>0.96799999999999997</v>
      </c>
      <c r="N21" s="14" t="str">
        <f>IF(G21&gt;='Resumen Ejecutivo'!$C$8, "CRÍTICA", IF(G21&gt;='Resumen Ejecutivo'!$C$7, "TEMPRANA", "NORMAL"))</f>
        <v>NORMAL</v>
      </c>
    </row>
    <row r="22" spans="2:14" x14ac:dyDescent="0.25">
      <c r="B22" s="19">
        <v>18</v>
      </c>
      <c r="C22" s="19" t="s">
        <v>54</v>
      </c>
      <c r="D22" s="19" t="s">
        <v>55</v>
      </c>
      <c r="E22" s="19" t="s">
        <v>73</v>
      </c>
      <c r="F22" s="20">
        <v>3</v>
      </c>
      <c r="G22" s="20">
        <v>3</v>
      </c>
      <c r="H22" s="20">
        <f t="shared" si="0"/>
        <v>0</v>
      </c>
      <c r="I22" s="20">
        <f t="shared" si="1"/>
        <v>0</v>
      </c>
      <c r="J22" s="21">
        <f t="shared" si="2"/>
        <v>0</v>
      </c>
      <c r="K22" s="22">
        <v>28.4</v>
      </c>
      <c r="L22" s="23">
        <v>0.37</v>
      </c>
      <c r="M22" s="21">
        <v>0.96199999999999997</v>
      </c>
      <c r="N22" s="19" t="str">
        <f>IF(G22&gt;='Resumen Ejecutivo'!$C$8, "CRÍTICA", IF(G22&gt;='Resumen Ejecutivo'!$C$7, "TEMPRANA", "NORMAL"))</f>
        <v>NORMAL</v>
      </c>
    </row>
    <row r="23" spans="2:14" x14ac:dyDescent="0.25">
      <c r="B23" s="14">
        <v>19</v>
      </c>
      <c r="C23" s="14" t="s">
        <v>54</v>
      </c>
      <c r="D23" s="14" t="s">
        <v>55</v>
      </c>
      <c r="E23" s="14" t="s">
        <v>74</v>
      </c>
      <c r="F23" s="15">
        <v>4</v>
      </c>
      <c r="G23" s="15">
        <v>4</v>
      </c>
      <c r="H23" s="15">
        <f t="shared" si="0"/>
        <v>0</v>
      </c>
      <c r="I23" s="15">
        <f t="shared" si="1"/>
        <v>0</v>
      </c>
      <c r="J23" s="16">
        <f t="shared" si="2"/>
        <v>0</v>
      </c>
      <c r="K23" s="17">
        <v>27.2</v>
      </c>
      <c r="L23" s="18">
        <v>0.35799999999999998</v>
      </c>
      <c r="M23" s="16">
        <v>0.95399999999999996</v>
      </c>
      <c r="N23" s="14" t="str">
        <f>IF(G23&gt;='Resumen Ejecutivo'!$C$8, "CRÍTICA", IF(G23&gt;='Resumen Ejecutivo'!$C$7, "TEMPRANA", "NORMAL"))</f>
        <v>NORMAL</v>
      </c>
    </row>
    <row r="24" spans="2:14" x14ac:dyDescent="0.25">
      <c r="B24" s="19">
        <v>20</v>
      </c>
      <c r="C24" s="19" t="s">
        <v>54</v>
      </c>
      <c r="D24" s="19" t="s">
        <v>55</v>
      </c>
      <c r="E24" s="19" t="s">
        <v>75</v>
      </c>
      <c r="F24" s="20">
        <v>3</v>
      </c>
      <c r="G24" s="20">
        <v>2</v>
      </c>
      <c r="H24" s="20">
        <f t="shared" si="0"/>
        <v>1</v>
      </c>
      <c r="I24" s="20">
        <f t="shared" si="1"/>
        <v>1</v>
      </c>
      <c r="J24" s="21">
        <f t="shared" si="2"/>
        <v>0.33333333333333331</v>
      </c>
      <c r="K24" s="22">
        <v>28</v>
      </c>
      <c r="L24" s="23">
        <v>0.371</v>
      </c>
      <c r="M24" s="21">
        <v>0.999</v>
      </c>
      <c r="N24" s="19" t="str">
        <f>IF(G24&gt;='Resumen Ejecutivo'!$C$8, "CRÍTICA", IF(G24&gt;='Resumen Ejecutivo'!$C$7, "TEMPRANA", "NORMAL"))</f>
        <v>NORMAL</v>
      </c>
    </row>
    <row r="25" spans="2:14" x14ac:dyDescent="0.25">
      <c r="B25" s="14">
        <v>21</v>
      </c>
      <c r="C25" s="14" t="s">
        <v>54</v>
      </c>
      <c r="D25" s="14" t="s">
        <v>55</v>
      </c>
      <c r="E25" s="14" t="s">
        <v>76</v>
      </c>
      <c r="F25" s="15">
        <v>5</v>
      </c>
      <c r="G25" s="15">
        <v>5</v>
      </c>
      <c r="H25" s="15">
        <f t="shared" si="0"/>
        <v>0</v>
      </c>
      <c r="I25" s="15">
        <f t="shared" si="1"/>
        <v>0</v>
      </c>
      <c r="J25" s="16">
        <f t="shared" si="2"/>
        <v>0</v>
      </c>
      <c r="K25" s="17">
        <v>27.7</v>
      </c>
      <c r="L25" s="18">
        <v>0.33600000000000002</v>
      </c>
      <c r="M25" s="16">
        <v>0.98299999999999998</v>
      </c>
      <c r="N25" s="14" t="str">
        <f>IF(G25&gt;='Resumen Ejecutivo'!$C$8, "CRÍTICA", IF(G25&gt;='Resumen Ejecutivo'!$C$7, "TEMPRANA", "NORMAL"))</f>
        <v>NORMAL</v>
      </c>
    </row>
    <row r="26" spans="2:14" x14ac:dyDescent="0.25">
      <c r="B26" s="19">
        <v>22</v>
      </c>
      <c r="C26" s="19" t="s">
        <v>54</v>
      </c>
      <c r="D26" s="19" t="s">
        <v>55</v>
      </c>
      <c r="E26" s="19" t="s">
        <v>77</v>
      </c>
      <c r="F26" s="20">
        <v>4</v>
      </c>
      <c r="G26" s="20">
        <v>4</v>
      </c>
      <c r="H26" s="20">
        <f t="shared" si="0"/>
        <v>0</v>
      </c>
      <c r="I26" s="20">
        <f t="shared" si="1"/>
        <v>0</v>
      </c>
      <c r="J26" s="21">
        <f t="shared" si="2"/>
        <v>0</v>
      </c>
      <c r="K26" s="22">
        <v>28.3</v>
      </c>
      <c r="L26" s="23">
        <v>0.33800000000000002</v>
      </c>
      <c r="M26" s="21">
        <v>0.97599999999999998</v>
      </c>
      <c r="N26" s="19" t="str">
        <f>IF(G26&gt;='Resumen Ejecutivo'!$C$8, "CRÍTICA", IF(G26&gt;='Resumen Ejecutivo'!$C$7, "TEMPRANA", "NORMAL"))</f>
        <v>NORMAL</v>
      </c>
    </row>
    <row r="27" spans="2:14" x14ac:dyDescent="0.25">
      <c r="B27" s="14">
        <v>23</v>
      </c>
      <c r="C27" s="14" t="s">
        <v>54</v>
      </c>
      <c r="D27" s="14" t="s">
        <v>55</v>
      </c>
      <c r="E27" s="14" t="s">
        <v>78</v>
      </c>
      <c r="F27" s="15">
        <v>2</v>
      </c>
      <c r="G27" s="15">
        <v>2</v>
      </c>
      <c r="H27" s="15">
        <f t="shared" si="0"/>
        <v>0</v>
      </c>
      <c r="I27" s="15">
        <f t="shared" si="1"/>
        <v>0</v>
      </c>
      <c r="J27" s="16">
        <f t="shared" si="2"/>
        <v>0</v>
      </c>
      <c r="K27" s="17">
        <v>27.8</v>
      </c>
      <c r="L27" s="18">
        <v>0.378</v>
      </c>
      <c r="M27" s="16">
        <v>0.996</v>
      </c>
      <c r="N27" s="14" t="str">
        <f>IF(G27&gt;='Resumen Ejecutivo'!$C$8, "CRÍTICA", IF(G27&gt;='Resumen Ejecutivo'!$C$7, "TEMPRANA", "NORMAL"))</f>
        <v>NORMAL</v>
      </c>
    </row>
    <row r="28" spans="2:14" x14ac:dyDescent="0.25">
      <c r="B28" s="19">
        <v>24</v>
      </c>
      <c r="C28" s="19" t="s">
        <v>54</v>
      </c>
      <c r="D28" s="19" t="s">
        <v>55</v>
      </c>
      <c r="E28" s="19" t="s">
        <v>79</v>
      </c>
      <c r="F28" s="20">
        <v>3</v>
      </c>
      <c r="G28" s="20">
        <v>3</v>
      </c>
      <c r="H28" s="20">
        <f t="shared" si="0"/>
        <v>0</v>
      </c>
      <c r="I28" s="20">
        <f t="shared" si="1"/>
        <v>0</v>
      </c>
      <c r="J28" s="21">
        <f t="shared" si="2"/>
        <v>0</v>
      </c>
      <c r="K28" s="22">
        <v>28</v>
      </c>
      <c r="L28" s="23">
        <v>0.36399999999999999</v>
      </c>
      <c r="M28" s="21">
        <v>0.98599999999999999</v>
      </c>
      <c r="N28" s="19" t="str">
        <f>IF(G28&gt;='Resumen Ejecutivo'!$C$8, "CRÍTICA", IF(G28&gt;='Resumen Ejecutivo'!$C$7, "TEMPRANA", "NORMAL"))</f>
        <v>NORMAL</v>
      </c>
    </row>
    <row r="29" spans="2:14" x14ac:dyDescent="0.25">
      <c r="B29" s="14">
        <v>25</v>
      </c>
      <c r="C29" s="14" t="s">
        <v>54</v>
      </c>
      <c r="D29" s="14" t="s">
        <v>55</v>
      </c>
      <c r="E29" s="14" t="s">
        <v>80</v>
      </c>
      <c r="F29" s="15">
        <v>4</v>
      </c>
      <c r="G29" s="15">
        <v>4</v>
      </c>
      <c r="H29" s="15">
        <f t="shared" si="0"/>
        <v>0</v>
      </c>
      <c r="I29" s="15">
        <f t="shared" si="1"/>
        <v>0</v>
      </c>
      <c r="J29" s="16">
        <f t="shared" si="2"/>
        <v>0</v>
      </c>
      <c r="K29" s="17">
        <v>27.4</v>
      </c>
      <c r="L29" s="18">
        <v>0.36399999999999999</v>
      </c>
      <c r="M29" s="16">
        <v>0.96899999999999997</v>
      </c>
      <c r="N29" s="14" t="str">
        <f>IF(G29&gt;='Resumen Ejecutivo'!$C$8, "CRÍTICA", IF(G29&gt;='Resumen Ejecutivo'!$C$7, "TEMPRANA", "NORMAL"))</f>
        <v>NORMAL</v>
      </c>
    </row>
    <row r="30" spans="2:14" x14ac:dyDescent="0.25">
      <c r="B30" s="19">
        <v>26</v>
      </c>
      <c r="C30" s="19" t="s">
        <v>54</v>
      </c>
      <c r="D30" s="19" t="s">
        <v>55</v>
      </c>
      <c r="E30" s="19" t="s">
        <v>81</v>
      </c>
      <c r="F30" s="20">
        <v>2</v>
      </c>
      <c r="G30" s="20">
        <v>2</v>
      </c>
      <c r="H30" s="20">
        <f t="shared" si="0"/>
        <v>0</v>
      </c>
      <c r="I30" s="20">
        <f t="shared" si="1"/>
        <v>0</v>
      </c>
      <c r="J30" s="21">
        <f t="shared" si="2"/>
        <v>0</v>
      </c>
      <c r="K30" s="22">
        <v>28.2</v>
      </c>
      <c r="L30" s="23">
        <v>0.35299999999999998</v>
      </c>
      <c r="M30" s="21">
        <v>0.96199999999999997</v>
      </c>
      <c r="N30" s="19" t="str">
        <f>IF(G30&gt;='Resumen Ejecutivo'!$C$8, "CRÍTICA", IF(G30&gt;='Resumen Ejecutivo'!$C$7, "TEMPRANA", "NORMAL"))</f>
        <v>NORMAL</v>
      </c>
    </row>
    <row r="31" spans="2:14" x14ac:dyDescent="0.25">
      <c r="B31" s="14">
        <v>27</v>
      </c>
      <c r="C31" s="14" t="s">
        <v>54</v>
      </c>
      <c r="D31" s="14" t="s">
        <v>55</v>
      </c>
      <c r="E31" s="14" t="s">
        <v>82</v>
      </c>
      <c r="F31" s="15">
        <v>4</v>
      </c>
      <c r="G31" s="15">
        <v>4</v>
      </c>
      <c r="H31" s="15">
        <f t="shared" si="0"/>
        <v>0</v>
      </c>
      <c r="I31" s="15">
        <f t="shared" si="1"/>
        <v>0</v>
      </c>
      <c r="J31" s="16">
        <f t="shared" si="2"/>
        <v>0</v>
      </c>
      <c r="K31" s="17">
        <v>26.9</v>
      </c>
      <c r="L31" s="18">
        <v>0.33100000000000002</v>
      </c>
      <c r="M31" s="16">
        <v>0.97799999999999998</v>
      </c>
      <c r="N31" s="14" t="str">
        <f>IF(G31&gt;='Resumen Ejecutivo'!$C$8, "CRÍTICA", IF(G31&gt;='Resumen Ejecutivo'!$C$7, "TEMPRANA", "NORMAL"))</f>
        <v>NORMAL</v>
      </c>
    </row>
    <row r="32" spans="2:14" x14ac:dyDescent="0.25">
      <c r="B32" s="19">
        <v>28</v>
      </c>
      <c r="C32" s="19" t="s">
        <v>54</v>
      </c>
      <c r="D32" s="19" t="s">
        <v>55</v>
      </c>
      <c r="E32" s="19" t="s">
        <v>83</v>
      </c>
      <c r="F32" s="20">
        <v>5</v>
      </c>
      <c r="G32" s="20">
        <v>5</v>
      </c>
      <c r="H32" s="20">
        <f t="shared" si="0"/>
        <v>0</v>
      </c>
      <c r="I32" s="20">
        <f t="shared" si="1"/>
        <v>0</v>
      </c>
      <c r="J32" s="21">
        <f t="shared" si="2"/>
        <v>0</v>
      </c>
      <c r="K32" s="22">
        <v>27.7</v>
      </c>
      <c r="L32" s="23">
        <v>0.33</v>
      </c>
      <c r="M32" s="21">
        <v>0.98499999999999999</v>
      </c>
      <c r="N32" s="19" t="str">
        <f>IF(G32&gt;='Resumen Ejecutivo'!$C$8, "CRÍTICA", IF(G32&gt;='Resumen Ejecutivo'!$C$7, "TEMPRANA", "NORMAL"))</f>
        <v>NORMAL</v>
      </c>
    </row>
    <row r="33" spans="2:14" x14ac:dyDescent="0.25">
      <c r="B33" s="14">
        <v>29</v>
      </c>
      <c r="C33" s="14" t="s">
        <v>54</v>
      </c>
      <c r="D33" s="14" t="s">
        <v>55</v>
      </c>
      <c r="E33" s="14" t="s">
        <v>84</v>
      </c>
      <c r="F33" s="15">
        <v>3</v>
      </c>
      <c r="G33" s="15">
        <v>3</v>
      </c>
      <c r="H33" s="15">
        <f t="shared" si="0"/>
        <v>0</v>
      </c>
      <c r="I33" s="15">
        <f t="shared" si="1"/>
        <v>0</v>
      </c>
      <c r="J33" s="16">
        <f t="shared" si="2"/>
        <v>0</v>
      </c>
      <c r="K33" s="17">
        <v>26.9</v>
      </c>
      <c r="L33" s="18">
        <v>0.33300000000000002</v>
      </c>
      <c r="M33" s="16">
        <v>0.95199999999999996</v>
      </c>
      <c r="N33" s="14" t="str">
        <f>IF(G33&gt;='Resumen Ejecutivo'!$C$8, "CRÍTICA", IF(G33&gt;='Resumen Ejecutivo'!$C$7, "TEMPRANA", "NORMAL"))</f>
        <v>NORMAL</v>
      </c>
    </row>
    <row r="34" spans="2:14" x14ac:dyDescent="0.25">
      <c r="B34" s="19">
        <v>30</v>
      </c>
      <c r="C34" s="19" t="s">
        <v>54</v>
      </c>
      <c r="D34" s="19" t="s">
        <v>55</v>
      </c>
      <c r="E34" s="19" t="s">
        <v>85</v>
      </c>
      <c r="F34" s="20">
        <v>1</v>
      </c>
      <c r="G34" s="20">
        <v>1</v>
      </c>
      <c r="H34" s="20">
        <f t="shared" si="0"/>
        <v>0</v>
      </c>
      <c r="I34" s="20">
        <f t="shared" si="1"/>
        <v>0</v>
      </c>
      <c r="J34" s="21">
        <f t="shared" si="2"/>
        <v>0</v>
      </c>
      <c r="K34" s="22">
        <v>27.3</v>
      </c>
      <c r="L34" s="23">
        <v>0.35599999999999998</v>
      </c>
      <c r="M34" s="21">
        <v>0.96399999999999997</v>
      </c>
      <c r="N34" s="19" t="str">
        <f>IF(G34&gt;='Resumen Ejecutivo'!$C$8, "CRÍTICA", IF(G34&gt;='Resumen Ejecutivo'!$C$7, "TEMPRANA", "NORMAL"))</f>
        <v>NORMAL</v>
      </c>
    </row>
    <row r="35" spans="2:14" x14ac:dyDescent="0.25">
      <c r="B35" s="14">
        <v>31</v>
      </c>
      <c r="C35" s="14" t="s">
        <v>54</v>
      </c>
      <c r="D35" s="14" t="s">
        <v>55</v>
      </c>
      <c r="E35" s="14" t="s">
        <v>86</v>
      </c>
      <c r="F35" s="15">
        <v>5</v>
      </c>
      <c r="G35" s="15">
        <v>5</v>
      </c>
      <c r="H35" s="15">
        <f t="shared" si="0"/>
        <v>0</v>
      </c>
      <c r="I35" s="15">
        <f t="shared" si="1"/>
        <v>0</v>
      </c>
      <c r="J35" s="16">
        <f t="shared" si="2"/>
        <v>0</v>
      </c>
      <c r="K35" s="17">
        <v>27.6</v>
      </c>
      <c r="L35" s="18">
        <v>0.35699999999999998</v>
      </c>
      <c r="M35" s="16">
        <v>0.98599999999999999</v>
      </c>
      <c r="N35" s="14" t="str">
        <f>IF(G35&gt;='Resumen Ejecutivo'!$C$8, "CRÍTICA", IF(G35&gt;='Resumen Ejecutivo'!$C$7, "TEMPRANA", "NORMAL"))</f>
        <v>NORMAL</v>
      </c>
    </row>
    <row r="36" spans="2:14" x14ac:dyDescent="0.25">
      <c r="B36" s="19">
        <v>32</v>
      </c>
      <c r="C36" s="19" t="s">
        <v>54</v>
      </c>
      <c r="D36" s="19" t="s">
        <v>55</v>
      </c>
      <c r="E36" s="19" t="s">
        <v>87</v>
      </c>
      <c r="F36" s="20">
        <v>9</v>
      </c>
      <c r="G36" s="20">
        <v>9</v>
      </c>
      <c r="H36" s="20">
        <f t="shared" si="0"/>
        <v>0</v>
      </c>
      <c r="I36" s="20">
        <f t="shared" si="1"/>
        <v>0</v>
      </c>
      <c r="J36" s="21">
        <f t="shared" si="2"/>
        <v>0</v>
      </c>
      <c r="K36" s="22">
        <v>28.2</v>
      </c>
      <c r="L36" s="23">
        <v>0.35899999999999999</v>
      </c>
      <c r="M36" s="21">
        <v>0.96199999999999997</v>
      </c>
      <c r="N36" s="19" t="str">
        <f>IF(G36&gt;='Resumen Ejecutivo'!$C$8, "CRÍTICA", IF(G36&gt;='Resumen Ejecutivo'!$C$7, "TEMPRANA", "NORMAL"))</f>
        <v>NORMAL</v>
      </c>
    </row>
    <row r="37" spans="2:14" x14ac:dyDescent="0.25">
      <c r="B37" s="14">
        <v>33</v>
      </c>
      <c r="C37" s="14" t="s">
        <v>54</v>
      </c>
      <c r="D37" s="14" t="s">
        <v>55</v>
      </c>
      <c r="E37" s="14" t="s">
        <v>88</v>
      </c>
      <c r="F37" s="15">
        <v>6</v>
      </c>
      <c r="G37" s="15">
        <v>6</v>
      </c>
      <c r="H37" s="15">
        <f t="shared" si="0"/>
        <v>0</v>
      </c>
      <c r="I37" s="15">
        <f t="shared" si="1"/>
        <v>0</v>
      </c>
      <c r="J37" s="16">
        <f t="shared" si="2"/>
        <v>0</v>
      </c>
      <c r="K37" s="17">
        <v>27.6</v>
      </c>
      <c r="L37" s="18">
        <v>0.35</v>
      </c>
      <c r="M37" s="16">
        <v>0.95499999999999996</v>
      </c>
      <c r="N37" s="14" t="str">
        <f>IF(G37&gt;='Resumen Ejecutivo'!$C$8, "CRÍTICA", IF(G37&gt;='Resumen Ejecutivo'!$C$7, "TEMPRANA", "NORMAL"))</f>
        <v>NORMAL</v>
      </c>
    </row>
    <row r="38" spans="2:14" x14ac:dyDescent="0.25">
      <c r="B38" s="19">
        <v>34</v>
      </c>
      <c r="C38" s="19" t="s">
        <v>54</v>
      </c>
      <c r="D38" s="19" t="s">
        <v>55</v>
      </c>
      <c r="E38" s="19" t="s">
        <v>89</v>
      </c>
      <c r="F38" s="20">
        <v>8</v>
      </c>
      <c r="G38" s="20">
        <v>8</v>
      </c>
      <c r="H38" s="20">
        <f t="shared" si="0"/>
        <v>0</v>
      </c>
      <c r="I38" s="20">
        <f t="shared" si="1"/>
        <v>0</v>
      </c>
      <c r="J38" s="21">
        <f t="shared" si="2"/>
        <v>0</v>
      </c>
      <c r="K38" s="22">
        <v>27.9</v>
      </c>
      <c r="L38" s="23">
        <v>0.34799999999999998</v>
      </c>
      <c r="M38" s="21">
        <v>0.97099999999999997</v>
      </c>
      <c r="N38" s="19" t="str">
        <f>IF(G38&gt;='Resumen Ejecutivo'!$C$8, "CRÍTICA", IF(G38&gt;='Resumen Ejecutivo'!$C$7, "TEMPRANA", "NORMAL"))</f>
        <v>NORMAL</v>
      </c>
    </row>
    <row r="39" spans="2:14" x14ac:dyDescent="0.25">
      <c r="B39" s="14">
        <v>35</v>
      </c>
      <c r="C39" s="14" t="s">
        <v>54</v>
      </c>
      <c r="D39" s="14" t="s">
        <v>55</v>
      </c>
      <c r="E39" s="14" t="s">
        <v>90</v>
      </c>
      <c r="F39" s="15">
        <v>7</v>
      </c>
      <c r="G39" s="15">
        <v>7</v>
      </c>
      <c r="H39" s="15">
        <f t="shared" si="0"/>
        <v>0</v>
      </c>
      <c r="I39" s="15">
        <f t="shared" si="1"/>
        <v>0</v>
      </c>
      <c r="J39" s="16">
        <f t="shared" si="2"/>
        <v>0</v>
      </c>
      <c r="K39" s="17">
        <v>28.2</v>
      </c>
      <c r="L39" s="18">
        <v>0.33300000000000002</v>
      </c>
      <c r="M39" s="16">
        <v>0.98299999999999998</v>
      </c>
      <c r="N39" s="14" t="str">
        <f>IF(G39&gt;='Resumen Ejecutivo'!$C$8, "CRÍTICA", IF(G39&gt;='Resumen Ejecutivo'!$C$7, "TEMPRANA", "NORMAL"))</f>
        <v>NORMAL</v>
      </c>
    </row>
    <row r="40" spans="2:14" x14ac:dyDescent="0.25">
      <c r="B40" s="19">
        <v>36</v>
      </c>
      <c r="C40" s="19" t="s">
        <v>54</v>
      </c>
      <c r="D40" s="19" t="s">
        <v>55</v>
      </c>
      <c r="E40" s="19" t="s">
        <v>91</v>
      </c>
      <c r="F40" s="20">
        <v>7</v>
      </c>
      <c r="G40" s="20">
        <v>7</v>
      </c>
      <c r="H40" s="20">
        <f t="shared" si="0"/>
        <v>0</v>
      </c>
      <c r="I40" s="20">
        <f t="shared" si="1"/>
        <v>0</v>
      </c>
      <c r="J40" s="21">
        <f t="shared" si="2"/>
        <v>0</v>
      </c>
      <c r="K40" s="22">
        <v>27.8</v>
      </c>
      <c r="L40" s="23">
        <v>0.33300000000000002</v>
      </c>
      <c r="M40" s="21">
        <v>0.98599999999999999</v>
      </c>
      <c r="N40" s="19" t="str">
        <f>IF(G40&gt;='Resumen Ejecutivo'!$C$8, "CRÍTICA", IF(G40&gt;='Resumen Ejecutivo'!$C$7, "TEMPRANA", "NORMAL"))</f>
        <v>NORMAL</v>
      </c>
    </row>
    <row r="41" spans="2:14" x14ac:dyDescent="0.25">
      <c r="B41" s="14">
        <v>37</v>
      </c>
      <c r="C41" s="14" t="s">
        <v>54</v>
      </c>
      <c r="D41" s="14" t="s">
        <v>55</v>
      </c>
      <c r="E41" s="14" t="s">
        <v>92</v>
      </c>
      <c r="F41" s="15">
        <v>5</v>
      </c>
      <c r="G41" s="15">
        <v>6</v>
      </c>
      <c r="H41" s="15">
        <f t="shared" si="0"/>
        <v>1</v>
      </c>
      <c r="I41" s="15">
        <f t="shared" si="1"/>
        <v>1</v>
      </c>
      <c r="J41" s="16">
        <f t="shared" si="2"/>
        <v>0.2</v>
      </c>
      <c r="K41" s="17">
        <v>28.1</v>
      </c>
      <c r="L41" s="18">
        <v>0.33500000000000002</v>
      </c>
      <c r="M41" s="16">
        <v>0.96</v>
      </c>
      <c r="N41" s="14" t="str">
        <f>IF(G41&gt;='Resumen Ejecutivo'!$C$8, "CRÍTICA", IF(G41&gt;='Resumen Ejecutivo'!$C$7, "TEMPRANA", "NORMAL"))</f>
        <v>NORMAL</v>
      </c>
    </row>
    <row r="42" spans="2:14" x14ac:dyDescent="0.25">
      <c r="B42" s="19">
        <v>38</v>
      </c>
      <c r="C42" s="19" t="s">
        <v>54</v>
      </c>
      <c r="D42" s="19" t="s">
        <v>55</v>
      </c>
      <c r="E42" s="19" t="s">
        <v>93</v>
      </c>
      <c r="F42" s="20">
        <v>5</v>
      </c>
      <c r="G42" s="20">
        <v>6</v>
      </c>
      <c r="H42" s="20">
        <f t="shared" si="0"/>
        <v>1</v>
      </c>
      <c r="I42" s="20">
        <f t="shared" si="1"/>
        <v>1</v>
      </c>
      <c r="J42" s="21">
        <f t="shared" si="2"/>
        <v>0.2</v>
      </c>
      <c r="K42" s="22">
        <v>27.7</v>
      </c>
      <c r="L42" s="23">
        <v>0.33700000000000002</v>
      </c>
      <c r="M42" s="21">
        <v>0.95899999999999996</v>
      </c>
      <c r="N42" s="19" t="str">
        <f>IF(G42&gt;='Resumen Ejecutivo'!$C$8, "CRÍTICA", IF(G42&gt;='Resumen Ejecutivo'!$C$7, "TEMPRANA", "NORMAL"))</f>
        <v>NORMAL</v>
      </c>
    </row>
    <row r="43" spans="2:14" x14ac:dyDescent="0.25">
      <c r="B43" s="14">
        <v>39</v>
      </c>
      <c r="C43" s="14" t="s">
        <v>54</v>
      </c>
      <c r="D43" s="14" t="s">
        <v>55</v>
      </c>
      <c r="E43" s="14" t="s">
        <v>94</v>
      </c>
      <c r="F43" s="15">
        <v>6</v>
      </c>
      <c r="G43" s="15">
        <v>6</v>
      </c>
      <c r="H43" s="15">
        <f t="shared" si="0"/>
        <v>0</v>
      </c>
      <c r="I43" s="15">
        <f t="shared" si="1"/>
        <v>0</v>
      </c>
      <c r="J43" s="16">
        <f t="shared" si="2"/>
        <v>0</v>
      </c>
      <c r="K43" s="17">
        <v>27.5</v>
      </c>
      <c r="L43" s="18">
        <v>0.374</v>
      </c>
      <c r="M43" s="16">
        <v>0.95399999999999996</v>
      </c>
      <c r="N43" s="14" t="str">
        <f>IF(G43&gt;='Resumen Ejecutivo'!$C$8, "CRÍTICA", IF(G43&gt;='Resumen Ejecutivo'!$C$7, "TEMPRANA", "NORMAL"))</f>
        <v>NORMAL</v>
      </c>
    </row>
    <row r="44" spans="2:14" x14ac:dyDescent="0.25">
      <c r="B44" s="19">
        <v>40</v>
      </c>
      <c r="C44" s="19" t="s">
        <v>54</v>
      </c>
      <c r="D44" s="19" t="s">
        <v>55</v>
      </c>
      <c r="E44" s="19" t="s">
        <v>95</v>
      </c>
      <c r="F44" s="20">
        <v>6</v>
      </c>
      <c r="G44" s="20">
        <v>6</v>
      </c>
      <c r="H44" s="20">
        <f t="shared" si="0"/>
        <v>0</v>
      </c>
      <c r="I44" s="20">
        <f t="shared" si="1"/>
        <v>0</v>
      </c>
      <c r="J44" s="21">
        <f t="shared" si="2"/>
        <v>0</v>
      </c>
      <c r="K44" s="22">
        <v>28.1</v>
      </c>
      <c r="L44" s="23">
        <v>0.373</v>
      </c>
      <c r="M44" s="21">
        <v>0.95499999999999996</v>
      </c>
      <c r="N44" s="19" t="str">
        <f>IF(G44&gt;='Resumen Ejecutivo'!$C$8, "CRÍTICA", IF(G44&gt;='Resumen Ejecutivo'!$C$7, "TEMPRANA", "NORMAL"))</f>
        <v>NORMAL</v>
      </c>
    </row>
    <row r="45" spans="2:14" x14ac:dyDescent="0.25">
      <c r="B45" s="14">
        <v>41</v>
      </c>
      <c r="C45" s="14" t="s">
        <v>54</v>
      </c>
      <c r="D45" s="14" t="s">
        <v>55</v>
      </c>
      <c r="E45" s="14" t="s">
        <v>96</v>
      </c>
      <c r="F45" s="15">
        <v>10</v>
      </c>
      <c r="G45" s="15">
        <v>10</v>
      </c>
      <c r="H45" s="15">
        <f t="shared" si="0"/>
        <v>0</v>
      </c>
      <c r="I45" s="15">
        <f t="shared" si="1"/>
        <v>0</v>
      </c>
      <c r="J45" s="16">
        <f t="shared" si="2"/>
        <v>0</v>
      </c>
      <c r="K45" s="17">
        <v>27.8</v>
      </c>
      <c r="L45" s="18">
        <v>0.35699999999999998</v>
      </c>
      <c r="M45" s="16">
        <v>0.95099999999999996</v>
      </c>
      <c r="N45" s="14" t="str">
        <f>IF(G45&gt;='Resumen Ejecutivo'!$C$8, "CRÍTICA", IF(G45&gt;='Resumen Ejecutivo'!$C$7, "TEMPRANA", "NORMAL"))</f>
        <v>NORMAL</v>
      </c>
    </row>
    <row r="46" spans="2:14" x14ac:dyDescent="0.25">
      <c r="B46" s="19">
        <v>42</v>
      </c>
      <c r="C46" s="19" t="s">
        <v>54</v>
      </c>
      <c r="D46" s="19" t="s">
        <v>55</v>
      </c>
      <c r="E46" s="19" t="s">
        <v>97</v>
      </c>
      <c r="F46" s="20">
        <v>7</v>
      </c>
      <c r="G46" s="20">
        <v>7</v>
      </c>
      <c r="H46" s="20">
        <f t="shared" si="0"/>
        <v>0</v>
      </c>
      <c r="I46" s="20">
        <f t="shared" si="1"/>
        <v>0</v>
      </c>
      <c r="J46" s="21">
        <f t="shared" si="2"/>
        <v>0</v>
      </c>
      <c r="K46" s="22">
        <v>26.9</v>
      </c>
      <c r="L46" s="23">
        <v>0.36799999999999999</v>
      </c>
      <c r="M46" s="21">
        <v>0.96199999999999997</v>
      </c>
      <c r="N46" s="19" t="str">
        <f>IF(G46&gt;='Resumen Ejecutivo'!$C$8, "CRÍTICA", IF(G46&gt;='Resumen Ejecutivo'!$C$7, "TEMPRANA", "NORMAL"))</f>
        <v>NORMAL</v>
      </c>
    </row>
    <row r="47" spans="2:14" x14ac:dyDescent="0.25">
      <c r="B47" s="14">
        <v>43</v>
      </c>
      <c r="C47" s="14" t="s">
        <v>54</v>
      </c>
      <c r="D47" s="14" t="s">
        <v>55</v>
      </c>
      <c r="E47" s="14" t="s">
        <v>98</v>
      </c>
      <c r="F47" s="15">
        <v>5</v>
      </c>
      <c r="G47" s="15">
        <v>5</v>
      </c>
      <c r="H47" s="15">
        <f t="shared" si="0"/>
        <v>0</v>
      </c>
      <c r="I47" s="15">
        <f t="shared" si="1"/>
        <v>0</v>
      </c>
      <c r="J47" s="16">
        <f t="shared" si="2"/>
        <v>0</v>
      </c>
      <c r="K47" s="17">
        <v>27.5</v>
      </c>
      <c r="L47" s="18">
        <v>0.35399999999999998</v>
      </c>
      <c r="M47" s="16">
        <v>0.99299999999999999</v>
      </c>
      <c r="N47" s="14" t="str">
        <f>IF(G47&gt;='Resumen Ejecutivo'!$C$8, "CRÍTICA", IF(G47&gt;='Resumen Ejecutivo'!$C$7, "TEMPRANA", "NORMAL"))</f>
        <v>NORMAL</v>
      </c>
    </row>
    <row r="48" spans="2:14" x14ac:dyDescent="0.25">
      <c r="B48" s="19">
        <v>44</v>
      </c>
      <c r="C48" s="19" t="s">
        <v>54</v>
      </c>
      <c r="D48" s="19" t="s">
        <v>55</v>
      </c>
      <c r="E48" s="19" t="s">
        <v>99</v>
      </c>
      <c r="F48" s="20">
        <v>8</v>
      </c>
      <c r="G48" s="20">
        <v>8</v>
      </c>
      <c r="H48" s="20">
        <f t="shared" si="0"/>
        <v>0</v>
      </c>
      <c r="I48" s="20">
        <f t="shared" si="1"/>
        <v>0</v>
      </c>
      <c r="J48" s="21">
        <f t="shared" si="2"/>
        <v>0</v>
      </c>
      <c r="K48" s="22">
        <v>28.2</v>
      </c>
      <c r="L48" s="23">
        <v>0.33800000000000002</v>
      </c>
      <c r="M48" s="21">
        <v>0.95</v>
      </c>
      <c r="N48" s="19" t="str">
        <f>IF(G48&gt;='Resumen Ejecutivo'!$C$8, "CRÍTICA", IF(G48&gt;='Resumen Ejecutivo'!$C$7, "TEMPRANA", "NORMAL"))</f>
        <v>NORMAL</v>
      </c>
    </row>
    <row r="49" spans="2:14" x14ac:dyDescent="0.25">
      <c r="B49" s="14">
        <v>45</v>
      </c>
      <c r="C49" s="14" t="s">
        <v>54</v>
      </c>
      <c r="D49" s="14" t="s">
        <v>55</v>
      </c>
      <c r="E49" s="14" t="s">
        <v>100</v>
      </c>
      <c r="F49" s="15">
        <v>6</v>
      </c>
      <c r="G49" s="15">
        <v>6</v>
      </c>
      <c r="H49" s="15">
        <f t="shared" si="0"/>
        <v>0</v>
      </c>
      <c r="I49" s="15">
        <f t="shared" si="1"/>
        <v>0</v>
      </c>
      <c r="J49" s="16">
        <f t="shared" si="2"/>
        <v>0</v>
      </c>
      <c r="K49" s="17">
        <v>27.4</v>
      </c>
      <c r="L49" s="18">
        <v>0.376</v>
      </c>
      <c r="M49" s="16">
        <v>0.98899999999999999</v>
      </c>
      <c r="N49" s="14" t="str">
        <f>IF(G49&gt;='Resumen Ejecutivo'!$C$8, "CRÍTICA", IF(G49&gt;='Resumen Ejecutivo'!$C$7, "TEMPRANA", "NORMAL"))</f>
        <v>NORMAL</v>
      </c>
    </row>
    <row r="50" spans="2:14" x14ac:dyDescent="0.25">
      <c r="B50" s="19">
        <v>46</v>
      </c>
      <c r="C50" s="19" t="s">
        <v>54</v>
      </c>
      <c r="D50" s="19" t="s">
        <v>55</v>
      </c>
      <c r="E50" s="19" t="s">
        <v>101</v>
      </c>
      <c r="F50" s="20">
        <v>2</v>
      </c>
      <c r="G50" s="20">
        <v>2</v>
      </c>
      <c r="H50" s="20">
        <f t="shared" si="0"/>
        <v>0</v>
      </c>
      <c r="I50" s="20">
        <f t="shared" si="1"/>
        <v>0</v>
      </c>
      <c r="J50" s="21">
        <f t="shared" si="2"/>
        <v>0</v>
      </c>
      <c r="K50" s="22">
        <v>27.3</v>
      </c>
      <c r="L50" s="23">
        <v>0.36499999999999999</v>
      </c>
      <c r="M50" s="21">
        <v>0.98699999999999999</v>
      </c>
      <c r="N50" s="19" t="str">
        <f>IF(G50&gt;='Resumen Ejecutivo'!$C$8, "CRÍTICA", IF(G50&gt;='Resumen Ejecutivo'!$C$7, "TEMPRANA", "NORMAL"))</f>
        <v>NORMAL</v>
      </c>
    </row>
    <row r="51" spans="2:14" x14ac:dyDescent="0.25">
      <c r="B51" s="14">
        <v>47</v>
      </c>
      <c r="C51" s="14" t="s">
        <v>54</v>
      </c>
      <c r="D51" s="14" t="s">
        <v>55</v>
      </c>
      <c r="E51" s="14" t="s">
        <v>102</v>
      </c>
      <c r="F51" s="15">
        <v>1</v>
      </c>
      <c r="G51" s="15">
        <v>1</v>
      </c>
      <c r="H51" s="15">
        <f t="shared" si="0"/>
        <v>0</v>
      </c>
      <c r="I51" s="15">
        <f t="shared" si="1"/>
        <v>0</v>
      </c>
      <c r="J51" s="16">
        <f t="shared" si="2"/>
        <v>0</v>
      </c>
      <c r="K51" s="17">
        <v>28.1</v>
      </c>
      <c r="L51" s="18">
        <v>0.36299999999999999</v>
      </c>
      <c r="M51" s="16">
        <v>0.97399999999999998</v>
      </c>
      <c r="N51" s="14" t="str">
        <f>IF(G51&gt;='Resumen Ejecutivo'!$C$8, "CRÍTICA", IF(G51&gt;='Resumen Ejecutivo'!$C$7, "TEMPRANA", "NORMAL"))</f>
        <v>NORMAL</v>
      </c>
    </row>
    <row r="52" spans="2:14" x14ac:dyDescent="0.25">
      <c r="B52" s="19">
        <v>48</v>
      </c>
      <c r="C52" s="19" t="s">
        <v>54</v>
      </c>
      <c r="D52" s="19" t="s">
        <v>55</v>
      </c>
      <c r="E52" s="19" t="s">
        <v>103</v>
      </c>
      <c r="F52" s="20">
        <v>0</v>
      </c>
      <c r="G52" s="20">
        <v>0</v>
      </c>
      <c r="H52" s="20">
        <f t="shared" si="0"/>
        <v>0</v>
      </c>
      <c r="I52" s="20">
        <f t="shared" si="1"/>
        <v>0</v>
      </c>
      <c r="J52" s="21">
        <f t="shared" si="2"/>
        <v>0</v>
      </c>
      <c r="K52" s="22">
        <v>27.1</v>
      </c>
      <c r="L52" s="23">
        <v>0.34100000000000003</v>
      </c>
      <c r="M52" s="21">
        <v>0.95299999999999996</v>
      </c>
      <c r="N52" s="19" t="str">
        <f>IF(G52&gt;='Resumen Ejecutivo'!$C$8, "CRÍTICA", IF(G52&gt;='Resumen Ejecutivo'!$C$7, "TEMPRANA", "NORMAL"))</f>
        <v>NORMAL</v>
      </c>
    </row>
    <row r="53" spans="2:14" x14ac:dyDescent="0.25">
      <c r="B53" s="14">
        <v>49</v>
      </c>
      <c r="C53" s="14" t="s">
        <v>54</v>
      </c>
      <c r="D53" s="14" t="s">
        <v>55</v>
      </c>
      <c r="E53" s="14" t="s">
        <v>104</v>
      </c>
      <c r="F53" s="15">
        <v>4</v>
      </c>
      <c r="G53" s="15">
        <v>4</v>
      </c>
      <c r="H53" s="15">
        <f t="shared" si="0"/>
        <v>0</v>
      </c>
      <c r="I53" s="15">
        <f t="shared" si="1"/>
        <v>0</v>
      </c>
      <c r="J53" s="16">
        <f t="shared" si="2"/>
        <v>0</v>
      </c>
      <c r="K53" s="17">
        <v>28</v>
      </c>
      <c r="L53" s="18">
        <v>0.33300000000000002</v>
      </c>
      <c r="M53" s="16">
        <v>0.96599999999999997</v>
      </c>
      <c r="N53" s="14" t="str">
        <f>IF(G53&gt;='Resumen Ejecutivo'!$C$8, "CRÍTICA", IF(G53&gt;='Resumen Ejecutivo'!$C$7, "TEMPRANA", "NORMAL"))</f>
        <v>NORMAL</v>
      </c>
    </row>
    <row r="54" spans="2:14" x14ac:dyDescent="0.25">
      <c r="B54" s="19">
        <v>50</v>
      </c>
      <c r="C54" s="19" t="s">
        <v>54</v>
      </c>
      <c r="D54" s="19" t="s">
        <v>55</v>
      </c>
      <c r="E54" s="19" t="s">
        <v>105</v>
      </c>
      <c r="F54" s="20">
        <v>2</v>
      </c>
      <c r="G54" s="20">
        <v>2</v>
      </c>
      <c r="H54" s="20">
        <f t="shared" si="0"/>
        <v>0</v>
      </c>
      <c r="I54" s="20">
        <f t="shared" si="1"/>
        <v>0</v>
      </c>
      <c r="J54" s="21">
        <f t="shared" si="2"/>
        <v>0</v>
      </c>
      <c r="K54" s="22">
        <v>26.9</v>
      </c>
      <c r="L54" s="23">
        <v>0.35399999999999998</v>
      </c>
      <c r="M54" s="21">
        <v>0.996</v>
      </c>
      <c r="N54" s="19" t="str">
        <f>IF(G54&gt;='Resumen Ejecutivo'!$C$8, "CRÍTICA", IF(G54&gt;='Resumen Ejecutivo'!$C$7, "TEMPRANA", "NORMAL"))</f>
        <v>NORMAL</v>
      </c>
    </row>
    <row r="55" spans="2:14" x14ac:dyDescent="0.25">
      <c r="B55" s="14">
        <v>51</v>
      </c>
      <c r="C55" s="14" t="s">
        <v>54</v>
      </c>
      <c r="D55" s="14" t="s">
        <v>55</v>
      </c>
      <c r="E55" s="14" t="s">
        <v>106</v>
      </c>
      <c r="F55" s="15">
        <v>3</v>
      </c>
      <c r="G55" s="15">
        <v>3</v>
      </c>
      <c r="H55" s="15">
        <f t="shared" si="0"/>
        <v>0</v>
      </c>
      <c r="I55" s="15">
        <f t="shared" si="1"/>
        <v>0</v>
      </c>
      <c r="J55" s="16">
        <f t="shared" si="2"/>
        <v>0</v>
      </c>
      <c r="K55" s="17">
        <v>27.6</v>
      </c>
      <c r="L55" s="18">
        <v>0.33300000000000002</v>
      </c>
      <c r="M55" s="16">
        <v>0.97499999999999998</v>
      </c>
      <c r="N55" s="14" t="str">
        <f>IF(G55&gt;='Resumen Ejecutivo'!$C$8, "CRÍTICA", IF(G55&gt;='Resumen Ejecutivo'!$C$7, "TEMPRANA", "NORMAL"))</f>
        <v>NORMAL</v>
      </c>
    </row>
    <row r="56" spans="2:14" x14ac:dyDescent="0.25">
      <c r="B56" s="19">
        <v>52</v>
      </c>
      <c r="C56" s="19" t="s">
        <v>54</v>
      </c>
      <c r="D56" s="19" t="s">
        <v>55</v>
      </c>
      <c r="E56" s="19" t="s">
        <v>107</v>
      </c>
      <c r="F56" s="20">
        <v>2</v>
      </c>
      <c r="G56" s="20">
        <v>2</v>
      </c>
      <c r="H56" s="20">
        <f t="shared" si="0"/>
        <v>0</v>
      </c>
      <c r="I56" s="20">
        <f t="shared" si="1"/>
        <v>0</v>
      </c>
      <c r="J56" s="21">
        <f t="shared" si="2"/>
        <v>0</v>
      </c>
      <c r="K56" s="22">
        <v>28.2</v>
      </c>
      <c r="L56" s="23">
        <v>0.33300000000000002</v>
      </c>
      <c r="M56" s="21">
        <v>0.95299999999999996</v>
      </c>
      <c r="N56" s="19" t="str">
        <f>IF(G56&gt;='Resumen Ejecutivo'!$C$8, "CRÍTICA", IF(G56&gt;='Resumen Ejecutivo'!$C$7, "TEMPRANA", "NORMAL"))</f>
        <v>NORMAL</v>
      </c>
    </row>
    <row r="57" spans="2:14" x14ac:dyDescent="0.25">
      <c r="B57" s="14">
        <v>53</v>
      </c>
      <c r="C57" s="14" t="s">
        <v>54</v>
      </c>
      <c r="D57" s="14" t="s">
        <v>55</v>
      </c>
      <c r="E57" s="14" t="s">
        <v>108</v>
      </c>
      <c r="F57" s="15">
        <v>1</v>
      </c>
      <c r="G57" s="15">
        <v>0</v>
      </c>
      <c r="H57" s="15">
        <f t="shared" si="0"/>
        <v>1</v>
      </c>
      <c r="I57" s="15">
        <f t="shared" si="1"/>
        <v>1</v>
      </c>
      <c r="J57" s="16">
        <f t="shared" si="2"/>
        <v>1</v>
      </c>
      <c r="K57" s="17">
        <v>28.2</v>
      </c>
      <c r="L57" s="18">
        <v>0.35</v>
      </c>
      <c r="M57" s="16">
        <v>0.997</v>
      </c>
      <c r="N57" s="14" t="str">
        <f>IF(G57&gt;='Resumen Ejecutivo'!$C$8, "CRÍTICA", IF(G57&gt;='Resumen Ejecutivo'!$C$7, "TEMPRANA", "NORMAL"))</f>
        <v>NORMAL</v>
      </c>
    </row>
    <row r="58" spans="2:14" x14ac:dyDescent="0.25">
      <c r="B58" s="19">
        <v>54</v>
      </c>
      <c r="C58" s="19" t="s">
        <v>54</v>
      </c>
      <c r="D58" s="19" t="s">
        <v>55</v>
      </c>
      <c r="E58" s="19" t="s">
        <v>109</v>
      </c>
      <c r="F58" s="20">
        <v>1</v>
      </c>
      <c r="G58" s="20">
        <v>1</v>
      </c>
      <c r="H58" s="20">
        <f t="shared" si="0"/>
        <v>0</v>
      </c>
      <c r="I58" s="20">
        <f t="shared" si="1"/>
        <v>0</v>
      </c>
      <c r="J58" s="21">
        <f t="shared" si="2"/>
        <v>0</v>
      </c>
      <c r="K58" s="22">
        <v>27.7</v>
      </c>
      <c r="L58" s="23">
        <v>0.35899999999999999</v>
      </c>
      <c r="M58" s="21">
        <v>0.95199999999999996</v>
      </c>
      <c r="N58" s="19" t="str">
        <f>IF(G58&gt;='Resumen Ejecutivo'!$C$8, "CRÍTICA", IF(G58&gt;='Resumen Ejecutivo'!$C$7, "TEMPRANA", "NORMAL"))</f>
        <v>NORMAL</v>
      </c>
    </row>
    <row r="59" spans="2:14" x14ac:dyDescent="0.25">
      <c r="B59" s="14">
        <v>55</v>
      </c>
      <c r="C59" s="14" t="s">
        <v>54</v>
      </c>
      <c r="D59" s="14" t="s">
        <v>55</v>
      </c>
      <c r="E59" s="14" t="s">
        <v>110</v>
      </c>
      <c r="F59" s="15">
        <v>1</v>
      </c>
      <c r="G59" s="15">
        <v>1</v>
      </c>
      <c r="H59" s="15">
        <f t="shared" si="0"/>
        <v>0</v>
      </c>
      <c r="I59" s="15">
        <f t="shared" si="1"/>
        <v>0</v>
      </c>
      <c r="J59" s="16">
        <f t="shared" si="2"/>
        <v>0</v>
      </c>
      <c r="K59" s="17">
        <v>26.9</v>
      </c>
      <c r="L59" s="18">
        <v>0.36299999999999999</v>
      </c>
      <c r="M59" s="16">
        <v>0.97799999999999998</v>
      </c>
      <c r="N59" s="14" t="str">
        <f>IF(G59&gt;='Resumen Ejecutivo'!$C$8, "CRÍTICA", IF(G59&gt;='Resumen Ejecutivo'!$C$7, "TEMPRANA", "NORMAL"))</f>
        <v>NORMAL</v>
      </c>
    </row>
    <row r="60" spans="2:14" x14ac:dyDescent="0.25">
      <c r="B60" s="19">
        <v>56</v>
      </c>
      <c r="C60" s="19" t="s">
        <v>54</v>
      </c>
      <c r="D60" s="19" t="s">
        <v>55</v>
      </c>
      <c r="E60" s="19" t="s">
        <v>111</v>
      </c>
      <c r="F60" s="20">
        <v>3</v>
      </c>
      <c r="G60" s="20">
        <v>2</v>
      </c>
      <c r="H60" s="20">
        <f t="shared" si="0"/>
        <v>1</v>
      </c>
      <c r="I60" s="20">
        <f t="shared" si="1"/>
        <v>1</v>
      </c>
      <c r="J60" s="21">
        <f t="shared" si="2"/>
        <v>0.33333333333333331</v>
      </c>
      <c r="K60" s="22">
        <v>27.3</v>
      </c>
      <c r="L60" s="23">
        <v>0.34300000000000003</v>
      </c>
      <c r="M60" s="21">
        <v>0.98299999999999998</v>
      </c>
      <c r="N60" s="19" t="str">
        <f>IF(G60&gt;='Resumen Ejecutivo'!$C$8, "CRÍTICA", IF(G60&gt;='Resumen Ejecutivo'!$C$7, "TEMPRANA", "NORMAL"))</f>
        <v>NORMAL</v>
      </c>
    </row>
    <row r="61" spans="2:14" x14ac:dyDescent="0.25">
      <c r="B61" s="14">
        <v>57</v>
      </c>
      <c r="C61" s="14" t="s">
        <v>54</v>
      </c>
      <c r="D61" s="14" t="s">
        <v>55</v>
      </c>
      <c r="E61" s="14" t="s">
        <v>112</v>
      </c>
      <c r="F61" s="15">
        <v>2</v>
      </c>
      <c r="G61" s="15">
        <v>2</v>
      </c>
      <c r="H61" s="15">
        <f t="shared" si="0"/>
        <v>0</v>
      </c>
      <c r="I61" s="15">
        <f t="shared" si="1"/>
        <v>0</v>
      </c>
      <c r="J61" s="16">
        <f t="shared" si="2"/>
        <v>0</v>
      </c>
      <c r="K61" s="17">
        <v>27.3</v>
      </c>
      <c r="L61" s="18">
        <v>0.34300000000000003</v>
      </c>
      <c r="M61" s="16">
        <v>0.95699999999999996</v>
      </c>
      <c r="N61" s="14" t="str">
        <f>IF(G61&gt;='Resumen Ejecutivo'!$C$8, "CRÍTICA", IF(G61&gt;='Resumen Ejecutivo'!$C$7, "TEMPRANA", "NORMAL"))</f>
        <v>NORMAL</v>
      </c>
    </row>
    <row r="62" spans="2:14" x14ac:dyDescent="0.25">
      <c r="B62" s="19">
        <v>58</v>
      </c>
      <c r="C62" s="19" t="s">
        <v>54</v>
      </c>
      <c r="D62" s="19" t="s">
        <v>55</v>
      </c>
      <c r="E62" s="19" t="s">
        <v>113</v>
      </c>
      <c r="F62" s="20">
        <v>3</v>
      </c>
      <c r="G62" s="20">
        <v>3</v>
      </c>
      <c r="H62" s="20">
        <f t="shared" si="0"/>
        <v>0</v>
      </c>
      <c r="I62" s="20">
        <f t="shared" si="1"/>
        <v>0</v>
      </c>
      <c r="J62" s="21">
        <f t="shared" si="2"/>
        <v>0</v>
      </c>
      <c r="K62" s="22">
        <v>27.8</v>
      </c>
      <c r="L62" s="23">
        <v>0.35299999999999998</v>
      </c>
      <c r="M62" s="21">
        <v>0.996</v>
      </c>
      <c r="N62" s="19" t="str">
        <f>IF(G62&gt;='Resumen Ejecutivo'!$C$8, "CRÍTICA", IF(G62&gt;='Resumen Ejecutivo'!$C$7, "TEMPRANA", "NORMAL"))</f>
        <v>NORMAL</v>
      </c>
    </row>
    <row r="63" spans="2:14" x14ac:dyDescent="0.25">
      <c r="B63" s="14">
        <v>59</v>
      </c>
      <c r="C63" s="14" t="s">
        <v>54</v>
      </c>
      <c r="D63" s="14" t="s">
        <v>55</v>
      </c>
      <c r="E63" s="14" t="s">
        <v>114</v>
      </c>
      <c r="F63" s="15">
        <v>2</v>
      </c>
      <c r="G63" s="15">
        <v>2</v>
      </c>
      <c r="H63" s="15">
        <f t="shared" si="0"/>
        <v>0</v>
      </c>
      <c r="I63" s="15">
        <f t="shared" si="1"/>
        <v>0</v>
      </c>
      <c r="J63" s="16">
        <f t="shared" si="2"/>
        <v>0</v>
      </c>
      <c r="K63" s="17">
        <v>28.3</v>
      </c>
      <c r="L63" s="18">
        <v>0.33</v>
      </c>
      <c r="M63" s="16">
        <v>0.98099999999999998</v>
      </c>
      <c r="N63" s="14" t="str">
        <f>IF(G63&gt;='Resumen Ejecutivo'!$C$8, "CRÍTICA", IF(G63&gt;='Resumen Ejecutivo'!$C$7, "TEMPRANA", "NORMAL"))</f>
        <v>NORMAL</v>
      </c>
    </row>
    <row r="64" spans="2:14" x14ac:dyDescent="0.25">
      <c r="B64" s="19">
        <v>60</v>
      </c>
      <c r="C64" s="19" t="s">
        <v>54</v>
      </c>
      <c r="D64" s="19" t="s">
        <v>55</v>
      </c>
      <c r="E64" s="19" t="s">
        <v>115</v>
      </c>
      <c r="F64" s="20">
        <v>5</v>
      </c>
      <c r="G64" s="20">
        <v>5</v>
      </c>
      <c r="H64" s="20">
        <f t="shared" si="0"/>
        <v>0</v>
      </c>
      <c r="I64" s="20">
        <f t="shared" si="1"/>
        <v>0</v>
      </c>
      <c r="J64" s="21">
        <f t="shared" si="2"/>
        <v>0</v>
      </c>
      <c r="K64" s="22">
        <v>27.7</v>
      </c>
      <c r="L64" s="23">
        <v>0.33500000000000002</v>
      </c>
      <c r="M64" s="21">
        <v>0.97699999999999998</v>
      </c>
      <c r="N64" s="19" t="str">
        <f>IF(G64&gt;='Resumen Ejecutivo'!$C$8, "CRÍTICA", IF(G64&gt;='Resumen Ejecutivo'!$C$7, "TEMPRANA", "NORMAL"))</f>
        <v>NORMAL</v>
      </c>
    </row>
    <row r="65" spans="2:14" x14ac:dyDescent="0.25">
      <c r="B65" s="14">
        <v>61</v>
      </c>
      <c r="C65" s="14" t="s">
        <v>116</v>
      </c>
      <c r="D65" s="14" t="s">
        <v>117</v>
      </c>
      <c r="E65" s="14" t="s">
        <v>56</v>
      </c>
      <c r="F65" s="15">
        <v>1</v>
      </c>
      <c r="G65" s="15">
        <v>1</v>
      </c>
      <c r="H65" s="15">
        <f t="shared" si="0"/>
        <v>0</v>
      </c>
      <c r="I65" s="15">
        <f t="shared" si="1"/>
        <v>0</v>
      </c>
      <c r="J65" s="16">
        <f t="shared" si="2"/>
        <v>0</v>
      </c>
      <c r="K65" s="17">
        <v>28.2</v>
      </c>
      <c r="L65" s="18">
        <v>0.34100000000000003</v>
      </c>
      <c r="M65" s="16">
        <v>0.98299999999999998</v>
      </c>
      <c r="N65" s="14" t="str">
        <f>IF(G65&gt;='Resumen Ejecutivo'!$C$8, "CRÍTICA", IF(G65&gt;='Resumen Ejecutivo'!$C$7, "TEMPRANA", "NORMAL"))</f>
        <v>NORMAL</v>
      </c>
    </row>
    <row r="66" spans="2:14" x14ac:dyDescent="0.25">
      <c r="B66" s="19">
        <v>62</v>
      </c>
      <c r="C66" s="19" t="s">
        <v>116</v>
      </c>
      <c r="D66" s="19" t="s">
        <v>117</v>
      </c>
      <c r="E66" s="19" t="s">
        <v>57</v>
      </c>
      <c r="F66" s="20">
        <v>1</v>
      </c>
      <c r="G66" s="20">
        <v>1</v>
      </c>
      <c r="H66" s="20">
        <f t="shared" si="0"/>
        <v>0</v>
      </c>
      <c r="I66" s="20">
        <f t="shared" si="1"/>
        <v>0</v>
      </c>
      <c r="J66" s="21">
        <f t="shared" si="2"/>
        <v>0</v>
      </c>
      <c r="K66" s="22">
        <v>27.4</v>
      </c>
      <c r="L66" s="23">
        <v>0.34399999999999997</v>
      </c>
      <c r="M66" s="21">
        <v>0.95299999999999996</v>
      </c>
      <c r="N66" s="19" t="str">
        <f>IF(G66&gt;='Resumen Ejecutivo'!$C$8, "CRÍTICA", IF(G66&gt;='Resumen Ejecutivo'!$C$7, "TEMPRANA", "NORMAL"))</f>
        <v>NORMAL</v>
      </c>
    </row>
    <row r="67" spans="2:14" x14ac:dyDescent="0.25">
      <c r="B67" s="14">
        <v>63</v>
      </c>
      <c r="C67" s="14" t="s">
        <v>116</v>
      </c>
      <c r="D67" s="14" t="s">
        <v>117</v>
      </c>
      <c r="E67" s="14" t="s">
        <v>58</v>
      </c>
      <c r="F67" s="15">
        <v>2</v>
      </c>
      <c r="G67" s="15">
        <v>2</v>
      </c>
      <c r="H67" s="15">
        <f t="shared" si="0"/>
        <v>0</v>
      </c>
      <c r="I67" s="15">
        <f t="shared" si="1"/>
        <v>0</v>
      </c>
      <c r="J67" s="16">
        <f t="shared" si="2"/>
        <v>0</v>
      </c>
      <c r="K67" s="17">
        <v>28</v>
      </c>
      <c r="L67" s="18">
        <v>0.34799999999999998</v>
      </c>
      <c r="M67" s="16">
        <v>0.97499999999999998</v>
      </c>
      <c r="N67" s="14" t="str">
        <f>IF(G67&gt;='Resumen Ejecutivo'!$C$8, "CRÍTICA", IF(G67&gt;='Resumen Ejecutivo'!$C$7, "TEMPRANA", "NORMAL"))</f>
        <v>NORMAL</v>
      </c>
    </row>
    <row r="68" spans="2:14" x14ac:dyDescent="0.25">
      <c r="B68" s="19">
        <v>64</v>
      </c>
      <c r="C68" s="19" t="s">
        <v>116</v>
      </c>
      <c r="D68" s="19" t="s">
        <v>117</v>
      </c>
      <c r="E68" s="19" t="s">
        <v>59</v>
      </c>
      <c r="F68" s="20">
        <v>1</v>
      </c>
      <c r="G68" s="20">
        <v>1</v>
      </c>
      <c r="H68" s="20">
        <f t="shared" si="0"/>
        <v>0</v>
      </c>
      <c r="I68" s="20">
        <f t="shared" si="1"/>
        <v>0</v>
      </c>
      <c r="J68" s="21">
        <f t="shared" si="2"/>
        <v>0</v>
      </c>
      <c r="K68" s="22">
        <v>27.9</v>
      </c>
      <c r="L68" s="23">
        <v>0.372</v>
      </c>
      <c r="M68" s="21">
        <v>0.96699999999999997</v>
      </c>
      <c r="N68" s="19" t="str">
        <f>IF(G68&gt;='Resumen Ejecutivo'!$C$8, "CRÍTICA", IF(G68&gt;='Resumen Ejecutivo'!$C$7, "TEMPRANA", "NORMAL"))</f>
        <v>NORMAL</v>
      </c>
    </row>
    <row r="69" spans="2:14" x14ac:dyDescent="0.25">
      <c r="B69" s="14">
        <v>65</v>
      </c>
      <c r="C69" s="14" t="s">
        <v>116</v>
      </c>
      <c r="D69" s="14" t="s">
        <v>117</v>
      </c>
      <c r="E69" s="14" t="s">
        <v>60</v>
      </c>
      <c r="F69" s="15">
        <v>3</v>
      </c>
      <c r="G69" s="15">
        <v>3</v>
      </c>
      <c r="H69" s="15">
        <f t="shared" ref="H69:H132" si="3">ABS(G69-F69)</f>
        <v>0</v>
      </c>
      <c r="I69" s="15">
        <f t="shared" ref="I69:I132" si="4">(G69-F69)^2</f>
        <v>0</v>
      </c>
      <c r="J69" s="16">
        <f t="shared" ref="J69:J132" si="5">IFERROR(H69/F69,0)</f>
        <v>0</v>
      </c>
      <c r="K69" s="17">
        <v>26.8</v>
      </c>
      <c r="L69" s="18">
        <v>0.374</v>
      </c>
      <c r="M69" s="16">
        <v>0.96299999999999997</v>
      </c>
      <c r="N69" s="14" t="str">
        <f>IF(G69&gt;='Resumen Ejecutivo'!$C$8, "CRÍTICA", IF(G69&gt;='Resumen Ejecutivo'!$C$7, "TEMPRANA", "NORMAL"))</f>
        <v>NORMAL</v>
      </c>
    </row>
    <row r="70" spans="2:14" x14ac:dyDescent="0.25">
      <c r="B70" s="19">
        <v>66</v>
      </c>
      <c r="C70" s="19" t="s">
        <v>116</v>
      </c>
      <c r="D70" s="19" t="s">
        <v>117</v>
      </c>
      <c r="E70" s="19" t="s">
        <v>61</v>
      </c>
      <c r="F70" s="20">
        <v>2</v>
      </c>
      <c r="G70" s="20">
        <v>2</v>
      </c>
      <c r="H70" s="20">
        <f t="shared" si="3"/>
        <v>0</v>
      </c>
      <c r="I70" s="20">
        <f t="shared" si="4"/>
        <v>0</v>
      </c>
      <c r="J70" s="21">
        <f t="shared" si="5"/>
        <v>0</v>
      </c>
      <c r="K70" s="22">
        <v>27.7</v>
      </c>
      <c r="L70" s="23">
        <v>0.379</v>
      </c>
      <c r="M70" s="21">
        <v>0.95199999999999996</v>
      </c>
      <c r="N70" s="19" t="str">
        <f>IF(G70&gt;='Resumen Ejecutivo'!$C$8, "CRÍTICA", IF(G70&gt;='Resumen Ejecutivo'!$C$7, "TEMPRANA", "NORMAL"))</f>
        <v>NORMAL</v>
      </c>
    </row>
    <row r="71" spans="2:14" x14ac:dyDescent="0.25">
      <c r="B71" s="14">
        <v>67</v>
      </c>
      <c r="C71" s="14" t="s">
        <v>116</v>
      </c>
      <c r="D71" s="14" t="s">
        <v>117</v>
      </c>
      <c r="E71" s="14" t="s">
        <v>62</v>
      </c>
      <c r="F71" s="15">
        <v>0</v>
      </c>
      <c r="G71" s="15">
        <v>0</v>
      </c>
      <c r="H71" s="15">
        <f t="shared" si="3"/>
        <v>0</v>
      </c>
      <c r="I71" s="15">
        <f t="shared" si="4"/>
        <v>0</v>
      </c>
      <c r="J71" s="16">
        <f t="shared" si="5"/>
        <v>0</v>
      </c>
      <c r="K71" s="17">
        <v>27.8</v>
      </c>
      <c r="L71" s="18">
        <v>0.34699999999999998</v>
      </c>
      <c r="M71" s="16">
        <v>0.98899999999999999</v>
      </c>
      <c r="N71" s="14" t="str">
        <f>IF(G71&gt;='Resumen Ejecutivo'!$C$8, "CRÍTICA", IF(G71&gt;='Resumen Ejecutivo'!$C$7, "TEMPRANA", "NORMAL"))</f>
        <v>NORMAL</v>
      </c>
    </row>
    <row r="72" spans="2:14" x14ac:dyDescent="0.25">
      <c r="B72" s="19">
        <v>68</v>
      </c>
      <c r="C72" s="19" t="s">
        <v>116</v>
      </c>
      <c r="D72" s="19" t="s">
        <v>117</v>
      </c>
      <c r="E72" s="19" t="s">
        <v>63</v>
      </c>
      <c r="F72" s="20">
        <v>1</v>
      </c>
      <c r="G72" s="20">
        <v>1</v>
      </c>
      <c r="H72" s="20">
        <f t="shared" si="3"/>
        <v>0</v>
      </c>
      <c r="I72" s="20">
        <f t="shared" si="4"/>
        <v>0</v>
      </c>
      <c r="J72" s="21">
        <f t="shared" si="5"/>
        <v>0</v>
      </c>
      <c r="K72" s="22">
        <v>27.5</v>
      </c>
      <c r="L72" s="23">
        <v>0.379</v>
      </c>
      <c r="M72" s="21">
        <v>0.95599999999999996</v>
      </c>
      <c r="N72" s="19" t="str">
        <f>IF(G72&gt;='Resumen Ejecutivo'!$C$8, "CRÍTICA", IF(G72&gt;='Resumen Ejecutivo'!$C$7, "TEMPRANA", "NORMAL"))</f>
        <v>NORMAL</v>
      </c>
    </row>
    <row r="73" spans="2:14" x14ac:dyDescent="0.25">
      <c r="B73" s="14">
        <v>69</v>
      </c>
      <c r="C73" s="14" t="s">
        <v>116</v>
      </c>
      <c r="D73" s="14" t="s">
        <v>117</v>
      </c>
      <c r="E73" s="14" t="s">
        <v>64</v>
      </c>
      <c r="F73" s="15">
        <v>3</v>
      </c>
      <c r="G73" s="15">
        <v>3</v>
      </c>
      <c r="H73" s="15">
        <f t="shared" si="3"/>
        <v>0</v>
      </c>
      <c r="I73" s="15">
        <f t="shared" si="4"/>
        <v>0</v>
      </c>
      <c r="J73" s="16">
        <f t="shared" si="5"/>
        <v>0</v>
      </c>
      <c r="K73" s="17">
        <v>28.2</v>
      </c>
      <c r="L73" s="18">
        <v>0.34</v>
      </c>
      <c r="M73" s="16">
        <v>0.95199999999999996</v>
      </c>
      <c r="N73" s="14" t="str">
        <f>IF(G73&gt;='Resumen Ejecutivo'!$C$8, "CRÍTICA", IF(G73&gt;='Resumen Ejecutivo'!$C$7, "TEMPRANA", "NORMAL"))</f>
        <v>NORMAL</v>
      </c>
    </row>
    <row r="74" spans="2:14" x14ac:dyDescent="0.25">
      <c r="B74" s="19">
        <v>70</v>
      </c>
      <c r="C74" s="19" t="s">
        <v>116</v>
      </c>
      <c r="D74" s="19" t="s">
        <v>117</v>
      </c>
      <c r="E74" s="19" t="s">
        <v>65</v>
      </c>
      <c r="F74" s="20">
        <v>1</v>
      </c>
      <c r="G74" s="20">
        <v>1</v>
      </c>
      <c r="H74" s="20">
        <f t="shared" si="3"/>
        <v>0</v>
      </c>
      <c r="I74" s="20">
        <f t="shared" si="4"/>
        <v>0</v>
      </c>
      <c r="J74" s="21">
        <f t="shared" si="5"/>
        <v>0</v>
      </c>
      <c r="K74" s="22">
        <v>27.5</v>
      </c>
      <c r="L74" s="23">
        <v>0.35599999999999998</v>
      </c>
      <c r="M74" s="21">
        <v>0.99</v>
      </c>
      <c r="N74" s="19" t="str">
        <f>IF(G74&gt;='Resumen Ejecutivo'!$C$8, "CRÍTICA", IF(G74&gt;='Resumen Ejecutivo'!$C$7, "TEMPRANA", "NORMAL"))</f>
        <v>NORMAL</v>
      </c>
    </row>
    <row r="75" spans="2:14" x14ac:dyDescent="0.25">
      <c r="B75" s="14">
        <v>71</v>
      </c>
      <c r="C75" s="14" t="s">
        <v>116</v>
      </c>
      <c r="D75" s="14" t="s">
        <v>117</v>
      </c>
      <c r="E75" s="14" t="s">
        <v>66</v>
      </c>
      <c r="F75" s="15">
        <v>2</v>
      </c>
      <c r="G75" s="15">
        <v>2</v>
      </c>
      <c r="H75" s="15">
        <f t="shared" si="3"/>
        <v>0</v>
      </c>
      <c r="I75" s="15">
        <f t="shared" si="4"/>
        <v>0</v>
      </c>
      <c r="J75" s="16">
        <f t="shared" si="5"/>
        <v>0</v>
      </c>
      <c r="K75" s="17">
        <v>27.9</v>
      </c>
      <c r="L75" s="18">
        <v>0.377</v>
      </c>
      <c r="M75" s="16">
        <v>0.98699999999999999</v>
      </c>
      <c r="N75" s="14" t="str">
        <f>IF(G75&gt;='Resumen Ejecutivo'!$C$8, "CRÍTICA", IF(G75&gt;='Resumen Ejecutivo'!$C$7, "TEMPRANA", "NORMAL"))</f>
        <v>NORMAL</v>
      </c>
    </row>
    <row r="76" spans="2:14" x14ac:dyDescent="0.25">
      <c r="B76" s="19">
        <v>72</v>
      </c>
      <c r="C76" s="19" t="s">
        <v>116</v>
      </c>
      <c r="D76" s="19" t="s">
        <v>117</v>
      </c>
      <c r="E76" s="19" t="s">
        <v>67</v>
      </c>
      <c r="F76" s="20">
        <v>1</v>
      </c>
      <c r="G76" s="20">
        <v>1</v>
      </c>
      <c r="H76" s="20">
        <f t="shared" si="3"/>
        <v>0</v>
      </c>
      <c r="I76" s="20">
        <f t="shared" si="4"/>
        <v>0</v>
      </c>
      <c r="J76" s="21">
        <f t="shared" si="5"/>
        <v>0</v>
      </c>
      <c r="K76" s="22">
        <v>27.1</v>
      </c>
      <c r="L76" s="23">
        <v>0.35199999999999998</v>
      </c>
      <c r="M76" s="21">
        <v>0.997</v>
      </c>
      <c r="N76" s="19" t="str">
        <f>IF(G76&gt;='Resumen Ejecutivo'!$C$8, "CRÍTICA", IF(G76&gt;='Resumen Ejecutivo'!$C$7, "TEMPRANA", "NORMAL"))</f>
        <v>NORMAL</v>
      </c>
    </row>
    <row r="77" spans="2:14" x14ac:dyDescent="0.25">
      <c r="B77" s="14">
        <v>73</v>
      </c>
      <c r="C77" s="14" t="s">
        <v>116</v>
      </c>
      <c r="D77" s="14" t="s">
        <v>117</v>
      </c>
      <c r="E77" s="14" t="s">
        <v>68</v>
      </c>
      <c r="F77" s="15">
        <v>1</v>
      </c>
      <c r="G77" s="15">
        <v>1</v>
      </c>
      <c r="H77" s="15">
        <f t="shared" si="3"/>
        <v>0</v>
      </c>
      <c r="I77" s="15">
        <f t="shared" si="4"/>
        <v>0</v>
      </c>
      <c r="J77" s="16">
        <f t="shared" si="5"/>
        <v>0</v>
      </c>
      <c r="K77" s="17">
        <v>28.3</v>
      </c>
      <c r="L77" s="18">
        <v>0.36099999999999999</v>
      </c>
      <c r="M77" s="16">
        <v>0.98299999999999998</v>
      </c>
      <c r="N77" s="14" t="str">
        <f>IF(G77&gt;='Resumen Ejecutivo'!$C$8, "CRÍTICA", IF(G77&gt;='Resumen Ejecutivo'!$C$7, "TEMPRANA", "NORMAL"))</f>
        <v>NORMAL</v>
      </c>
    </row>
    <row r="78" spans="2:14" x14ac:dyDescent="0.25">
      <c r="B78" s="19">
        <v>74</v>
      </c>
      <c r="C78" s="19" t="s">
        <v>116</v>
      </c>
      <c r="D78" s="19" t="s">
        <v>117</v>
      </c>
      <c r="E78" s="19" t="s">
        <v>69</v>
      </c>
      <c r="F78" s="20">
        <v>1</v>
      </c>
      <c r="G78" s="20">
        <v>2</v>
      </c>
      <c r="H78" s="20">
        <f t="shared" si="3"/>
        <v>1</v>
      </c>
      <c r="I78" s="20">
        <f t="shared" si="4"/>
        <v>1</v>
      </c>
      <c r="J78" s="21">
        <f t="shared" si="5"/>
        <v>1</v>
      </c>
      <c r="K78" s="22">
        <v>27</v>
      </c>
      <c r="L78" s="23">
        <v>0.375</v>
      </c>
      <c r="M78" s="21">
        <v>0.97499999999999998</v>
      </c>
      <c r="N78" s="19" t="str">
        <f>IF(G78&gt;='Resumen Ejecutivo'!$C$8, "CRÍTICA", IF(G78&gt;='Resumen Ejecutivo'!$C$7, "TEMPRANA", "NORMAL"))</f>
        <v>NORMAL</v>
      </c>
    </row>
    <row r="79" spans="2:14" x14ac:dyDescent="0.25">
      <c r="B79" s="14">
        <v>75</v>
      </c>
      <c r="C79" s="14" t="s">
        <v>116</v>
      </c>
      <c r="D79" s="14" t="s">
        <v>117</v>
      </c>
      <c r="E79" s="14" t="s">
        <v>70</v>
      </c>
      <c r="F79" s="15">
        <v>3</v>
      </c>
      <c r="G79" s="15">
        <v>3</v>
      </c>
      <c r="H79" s="15">
        <f t="shared" si="3"/>
        <v>0</v>
      </c>
      <c r="I79" s="15">
        <f t="shared" si="4"/>
        <v>0</v>
      </c>
      <c r="J79" s="16">
        <f t="shared" si="5"/>
        <v>0</v>
      </c>
      <c r="K79" s="17">
        <v>27.9</v>
      </c>
      <c r="L79" s="18">
        <v>0.34599999999999997</v>
      </c>
      <c r="M79" s="16">
        <v>0.98499999999999999</v>
      </c>
      <c r="N79" s="14" t="str">
        <f>IF(G79&gt;='Resumen Ejecutivo'!$C$8, "CRÍTICA", IF(G79&gt;='Resumen Ejecutivo'!$C$7, "TEMPRANA", "NORMAL"))</f>
        <v>NORMAL</v>
      </c>
    </row>
    <row r="80" spans="2:14" x14ac:dyDescent="0.25">
      <c r="B80" s="19">
        <v>76</v>
      </c>
      <c r="C80" s="19" t="s">
        <v>116</v>
      </c>
      <c r="D80" s="19" t="s">
        <v>117</v>
      </c>
      <c r="E80" s="19" t="s">
        <v>71</v>
      </c>
      <c r="F80" s="20">
        <v>2</v>
      </c>
      <c r="G80" s="20">
        <v>1</v>
      </c>
      <c r="H80" s="20">
        <f t="shared" si="3"/>
        <v>1</v>
      </c>
      <c r="I80" s="20">
        <f t="shared" si="4"/>
        <v>1</v>
      </c>
      <c r="J80" s="21">
        <f t="shared" si="5"/>
        <v>0.5</v>
      </c>
      <c r="K80" s="22">
        <v>27.7</v>
      </c>
      <c r="L80" s="23">
        <v>0.34</v>
      </c>
      <c r="M80" s="21">
        <v>0.98299999999999998</v>
      </c>
      <c r="N80" s="19" t="str">
        <f>IF(G80&gt;='Resumen Ejecutivo'!$C$8, "CRÍTICA", IF(G80&gt;='Resumen Ejecutivo'!$C$7, "TEMPRANA", "NORMAL"))</f>
        <v>NORMAL</v>
      </c>
    </row>
    <row r="81" spans="2:14" x14ac:dyDescent="0.25">
      <c r="B81" s="14">
        <v>77</v>
      </c>
      <c r="C81" s="14" t="s">
        <v>116</v>
      </c>
      <c r="D81" s="14" t="s">
        <v>117</v>
      </c>
      <c r="E81" s="14" t="s">
        <v>72</v>
      </c>
      <c r="F81" s="15">
        <v>5</v>
      </c>
      <c r="G81" s="15">
        <v>5</v>
      </c>
      <c r="H81" s="15">
        <f t="shared" si="3"/>
        <v>0</v>
      </c>
      <c r="I81" s="15">
        <f t="shared" si="4"/>
        <v>0</v>
      </c>
      <c r="J81" s="16">
        <f t="shared" si="5"/>
        <v>0</v>
      </c>
      <c r="K81" s="17">
        <v>27.4</v>
      </c>
      <c r="L81" s="18">
        <v>0.36699999999999999</v>
      </c>
      <c r="M81" s="16">
        <v>0.95899999999999996</v>
      </c>
      <c r="N81" s="14" t="str">
        <f>IF(G81&gt;='Resumen Ejecutivo'!$C$8, "CRÍTICA", IF(G81&gt;='Resumen Ejecutivo'!$C$7, "TEMPRANA", "NORMAL"))</f>
        <v>NORMAL</v>
      </c>
    </row>
    <row r="82" spans="2:14" x14ac:dyDescent="0.25">
      <c r="B82" s="19">
        <v>78</v>
      </c>
      <c r="C82" s="19" t="s">
        <v>116</v>
      </c>
      <c r="D82" s="19" t="s">
        <v>117</v>
      </c>
      <c r="E82" s="19" t="s">
        <v>73</v>
      </c>
      <c r="F82" s="20">
        <v>3</v>
      </c>
      <c r="G82" s="20">
        <v>3</v>
      </c>
      <c r="H82" s="20">
        <f t="shared" si="3"/>
        <v>0</v>
      </c>
      <c r="I82" s="20">
        <f t="shared" si="4"/>
        <v>0</v>
      </c>
      <c r="J82" s="21">
        <f t="shared" si="5"/>
        <v>0</v>
      </c>
      <c r="K82" s="22">
        <v>27.7</v>
      </c>
      <c r="L82" s="23">
        <v>0.35</v>
      </c>
      <c r="M82" s="21">
        <v>0.99199999999999999</v>
      </c>
      <c r="N82" s="19" t="str">
        <f>IF(G82&gt;='Resumen Ejecutivo'!$C$8, "CRÍTICA", IF(G82&gt;='Resumen Ejecutivo'!$C$7, "TEMPRANA", "NORMAL"))</f>
        <v>NORMAL</v>
      </c>
    </row>
    <row r="83" spans="2:14" x14ac:dyDescent="0.25">
      <c r="B83" s="14">
        <v>79</v>
      </c>
      <c r="C83" s="14" t="s">
        <v>116</v>
      </c>
      <c r="D83" s="14" t="s">
        <v>117</v>
      </c>
      <c r="E83" s="14" t="s">
        <v>74</v>
      </c>
      <c r="F83" s="15">
        <v>3</v>
      </c>
      <c r="G83" s="15">
        <v>3</v>
      </c>
      <c r="H83" s="15">
        <f t="shared" si="3"/>
        <v>0</v>
      </c>
      <c r="I83" s="15">
        <f t="shared" si="4"/>
        <v>0</v>
      </c>
      <c r="J83" s="16">
        <f t="shared" si="5"/>
        <v>0</v>
      </c>
      <c r="K83" s="17">
        <v>27.3</v>
      </c>
      <c r="L83" s="18">
        <v>0.34100000000000003</v>
      </c>
      <c r="M83" s="16">
        <v>0.98899999999999999</v>
      </c>
      <c r="N83" s="14" t="str">
        <f>IF(G83&gt;='Resumen Ejecutivo'!$C$8, "CRÍTICA", IF(G83&gt;='Resumen Ejecutivo'!$C$7, "TEMPRANA", "NORMAL"))</f>
        <v>NORMAL</v>
      </c>
    </row>
    <row r="84" spans="2:14" x14ac:dyDescent="0.25">
      <c r="B84" s="19">
        <v>80</v>
      </c>
      <c r="C84" s="19" t="s">
        <v>116</v>
      </c>
      <c r="D84" s="19" t="s">
        <v>117</v>
      </c>
      <c r="E84" s="19" t="s">
        <v>75</v>
      </c>
      <c r="F84" s="20">
        <v>8</v>
      </c>
      <c r="G84" s="20">
        <v>8</v>
      </c>
      <c r="H84" s="20">
        <f t="shared" si="3"/>
        <v>0</v>
      </c>
      <c r="I84" s="20">
        <f t="shared" si="4"/>
        <v>0</v>
      </c>
      <c r="J84" s="21">
        <f t="shared" si="5"/>
        <v>0</v>
      </c>
      <c r="K84" s="22">
        <v>27.8</v>
      </c>
      <c r="L84" s="23">
        <v>0.34599999999999997</v>
      </c>
      <c r="M84" s="21">
        <v>0.97199999999999998</v>
      </c>
      <c r="N84" s="19" t="str">
        <f>IF(G84&gt;='Resumen Ejecutivo'!$C$8, "CRÍTICA", IF(G84&gt;='Resumen Ejecutivo'!$C$7, "TEMPRANA", "NORMAL"))</f>
        <v>NORMAL</v>
      </c>
    </row>
    <row r="85" spans="2:14" x14ac:dyDescent="0.25">
      <c r="B85" s="14">
        <v>81</v>
      </c>
      <c r="C85" s="14" t="s">
        <v>116</v>
      </c>
      <c r="D85" s="14" t="s">
        <v>117</v>
      </c>
      <c r="E85" s="14" t="s">
        <v>76</v>
      </c>
      <c r="F85" s="15">
        <v>2</v>
      </c>
      <c r="G85" s="15">
        <v>2</v>
      </c>
      <c r="H85" s="15">
        <f t="shared" si="3"/>
        <v>0</v>
      </c>
      <c r="I85" s="15">
        <f t="shared" si="4"/>
        <v>0</v>
      </c>
      <c r="J85" s="16">
        <f t="shared" si="5"/>
        <v>0</v>
      </c>
      <c r="K85" s="17">
        <v>27.9</v>
      </c>
      <c r="L85" s="18">
        <v>0.35599999999999998</v>
      </c>
      <c r="M85" s="16">
        <v>0.99</v>
      </c>
      <c r="N85" s="14" t="str">
        <f>IF(G85&gt;='Resumen Ejecutivo'!$C$8, "CRÍTICA", IF(G85&gt;='Resumen Ejecutivo'!$C$7, "TEMPRANA", "NORMAL"))</f>
        <v>NORMAL</v>
      </c>
    </row>
    <row r="86" spans="2:14" x14ac:dyDescent="0.25">
      <c r="B86" s="19">
        <v>82</v>
      </c>
      <c r="C86" s="19" t="s">
        <v>116</v>
      </c>
      <c r="D86" s="19" t="s">
        <v>117</v>
      </c>
      <c r="E86" s="19" t="s">
        <v>77</v>
      </c>
      <c r="F86" s="20">
        <v>2</v>
      </c>
      <c r="G86" s="20">
        <v>2</v>
      </c>
      <c r="H86" s="20">
        <f t="shared" si="3"/>
        <v>0</v>
      </c>
      <c r="I86" s="20">
        <f t="shared" si="4"/>
        <v>0</v>
      </c>
      <c r="J86" s="21">
        <f t="shared" si="5"/>
        <v>0</v>
      </c>
      <c r="K86" s="22">
        <v>28.3</v>
      </c>
      <c r="L86" s="23">
        <v>0.36699999999999999</v>
      </c>
      <c r="M86" s="21">
        <v>0.98299999999999998</v>
      </c>
      <c r="N86" s="19" t="str">
        <f>IF(G86&gt;='Resumen Ejecutivo'!$C$8, "CRÍTICA", IF(G86&gt;='Resumen Ejecutivo'!$C$7, "TEMPRANA", "NORMAL"))</f>
        <v>NORMAL</v>
      </c>
    </row>
    <row r="87" spans="2:14" x14ac:dyDescent="0.25">
      <c r="B87" s="14">
        <v>83</v>
      </c>
      <c r="C87" s="14" t="s">
        <v>116</v>
      </c>
      <c r="D87" s="14" t="s">
        <v>117</v>
      </c>
      <c r="E87" s="14" t="s">
        <v>78</v>
      </c>
      <c r="F87" s="15">
        <v>2</v>
      </c>
      <c r="G87" s="15">
        <v>2</v>
      </c>
      <c r="H87" s="15">
        <f t="shared" si="3"/>
        <v>0</v>
      </c>
      <c r="I87" s="15">
        <f t="shared" si="4"/>
        <v>0</v>
      </c>
      <c r="J87" s="16">
        <f t="shared" si="5"/>
        <v>0</v>
      </c>
      <c r="K87" s="17">
        <v>27.3</v>
      </c>
      <c r="L87" s="18">
        <v>0.36299999999999999</v>
      </c>
      <c r="M87" s="16">
        <v>0.98099999999999998</v>
      </c>
      <c r="N87" s="14" t="str">
        <f>IF(G87&gt;='Resumen Ejecutivo'!$C$8, "CRÍTICA", IF(G87&gt;='Resumen Ejecutivo'!$C$7, "TEMPRANA", "NORMAL"))</f>
        <v>NORMAL</v>
      </c>
    </row>
    <row r="88" spans="2:14" x14ac:dyDescent="0.25">
      <c r="B88" s="19">
        <v>84</v>
      </c>
      <c r="C88" s="19" t="s">
        <v>116</v>
      </c>
      <c r="D88" s="19" t="s">
        <v>117</v>
      </c>
      <c r="E88" s="19" t="s">
        <v>79</v>
      </c>
      <c r="F88" s="20">
        <v>4</v>
      </c>
      <c r="G88" s="20">
        <v>4</v>
      </c>
      <c r="H88" s="20">
        <f t="shared" si="3"/>
        <v>0</v>
      </c>
      <c r="I88" s="20">
        <f t="shared" si="4"/>
        <v>0</v>
      </c>
      <c r="J88" s="21">
        <f t="shared" si="5"/>
        <v>0</v>
      </c>
      <c r="K88" s="22">
        <v>26.9</v>
      </c>
      <c r="L88" s="23">
        <v>0.378</v>
      </c>
      <c r="M88" s="21">
        <v>0.96199999999999997</v>
      </c>
      <c r="N88" s="19" t="str">
        <f>IF(G88&gt;='Resumen Ejecutivo'!$C$8, "CRÍTICA", IF(G88&gt;='Resumen Ejecutivo'!$C$7, "TEMPRANA", "NORMAL"))</f>
        <v>NORMAL</v>
      </c>
    </row>
    <row r="89" spans="2:14" x14ac:dyDescent="0.25">
      <c r="B89" s="14">
        <v>85</v>
      </c>
      <c r="C89" s="14" t="s">
        <v>116</v>
      </c>
      <c r="D89" s="14" t="s">
        <v>117</v>
      </c>
      <c r="E89" s="14" t="s">
        <v>80</v>
      </c>
      <c r="F89" s="15">
        <v>2</v>
      </c>
      <c r="G89" s="15">
        <v>2</v>
      </c>
      <c r="H89" s="15">
        <f t="shared" si="3"/>
        <v>0</v>
      </c>
      <c r="I89" s="15">
        <f t="shared" si="4"/>
        <v>0</v>
      </c>
      <c r="J89" s="16">
        <f t="shared" si="5"/>
        <v>0</v>
      </c>
      <c r="K89" s="17">
        <v>27.3</v>
      </c>
      <c r="L89" s="18">
        <v>0.37</v>
      </c>
      <c r="M89" s="16">
        <v>0.95699999999999996</v>
      </c>
      <c r="N89" s="14" t="str">
        <f>IF(G89&gt;='Resumen Ejecutivo'!$C$8, "CRÍTICA", IF(G89&gt;='Resumen Ejecutivo'!$C$7, "TEMPRANA", "NORMAL"))</f>
        <v>NORMAL</v>
      </c>
    </row>
    <row r="90" spans="2:14" x14ac:dyDescent="0.25">
      <c r="B90" s="19">
        <v>86</v>
      </c>
      <c r="C90" s="19" t="s">
        <v>116</v>
      </c>
      <c r="D90" s="19" t="s">
        <v>117</v>
      </c>
      <c r="E90" s="19" t="s">
        <v>81</v>
      </c>
      <c r="F90" s="20">
        <v>5</v>
      </c>
      <c r="G90" s="20">
        <v>5</v>
      </c>
      <c r="H90" s="20">
        <f t="shared" si="3"/>
        <v>0</v>
      </c>
      <c r="I90" s="20">
        <f t="shared" si="4"/>
        <v>0</v>
      </c>
      <c r="J90" s="21">
        <f t="shared" si="5"/>
        <v>0</v>
      </c>
      <c r="K90" s="22">
        <v>26.9</v>
      </c>
      <c r="L90" s="23">
        <v>0.379</v>
      </c>
      <c r="M90" s="21">
        <v>0.98099999999999998</v>
      </c>
      <c r="N90" s="19" t="str">
        <f>IF(G90&gt;='Resumen Ejecutivo'!$C$8, "CRÍTICA", IF(G90&gt;='Resumen Ejecutivo'!$C$7, "TEMPRANA", "NORMAL"))</f>
        <v>NORMAL</v>
      </c>
    </row>
    <row r="91" spans="2:14" x14ac:dyDescent="0.25">
      <c r="B91" s="14">
        <v>87</v>
      </c>
      <c r="C91" s="14" t="s">
        <v>116</v>
      </c>
      <c r="D91" s="14" t="s">
        <v>117</v>
      </c>
      <c r="E91" s="14" t="s">
        <v>82</v>
      </c>
      <c r="F91" s="15">
        <v>3</v>
      </c>
      <c r="G91" s="15">
        <v>3</v>
      </c>
      <c r="H91" s="15">
        <f t="shared" si="3"/>
        <v>0</v>
      </c>
      <c r="I91" s="15">
        <f t="shared" si="4"/>
        <v>0</v>
      </c>
      <c r="J91" s="16">
        <f t="shared" si="5"/>
        <v>0</v>
      </c>
      <c r="K91" s="17">
        <v>28</v>
      </c>
      <c r="L91" s="18">
        <v>0.35299999999999998</v>
      </c>
      <c r="M91" s="16">
        <v>0.99399999999999999</v>
      </c>
      <c r="N91" s="14" t="str">
        <f>IF(G91&gt;='Resumen Ejecutivo'!$C$8, "CRÍTICA", IF(G91&gt;='Resumen Ejecutivo'!$C$7, "TEMPRANA", "NORMAL"))</f>
        <v>NORMAL</v>
      </c>
    </row>
    <row r="92" spans="2:14" x14ac:dyDescent="0.25">
      <c r="B92" s="19">
        <v>88</v>
      </c>
      <c r="C92" s="19" t="s">
        <v>116</v>
      </c>
      <c r="D92" s="19" t="s">
        <v>117</v>
      </c>
      <c r="E92" s="19" t="s">
        <v>83</v>
      </c>
      <c r="F92" s="20">
        <v>1</v>
      </c>
      <c r="G92" s="20">
        <v>1</v>
      </c>
      <c r="H92" s="20">
        <f t="shared" si="3"/>
        <v>0</v>
      </c>
      <c r="I92" s="20">
        <f t="shared" si="4"/>
        <v>0</v>
      </c>
      <c r="J92" s="21">
        <f t="shared" si="5"/>
        <v>0</v>
      </c>
      <c r="K92" s="22">
        <v>27.7</v>
      </c>
      <c r="L92" s="23">
        <v>0.36599999999999999</v>
      </c>
      <c r="M92" s="21">
        <v>0.96899999999999997</v>
      </c>
      <c r="N92" s="19" t="str">
        <f>IF(G92&gt;='Resumen Ejecutivo'!$C$8, "CRÍTICA", IF(G92&gt;='Resumen Ejecutivo'!$C$7, "TEMPRANA", "NORMAL"))</f>
        <v>NORMAL</v>
      </c>
    </row>
    <row r="93" spans="2:14" x14ac:dyDescent="0.25">
      <c r="B93" s="14">
        <v>89</v>
      </c>
      <c r="C93" s="14" t="s">
        <v>116</v>
      </c>
      <c r="D93" s="14" t="s">
        <v>117</v>
      </c>
      <c r="E93" s="14" t="s">
        <v>84</v>
      </c>
      <c r="F93" s="15">
        <v>4</v>
      </c>
      <c r="G93" s="15">
        <v>4</v>
      </c>
      <c r="H93" s="15">
        <f t="shared" si="3"/>
        <v>0</v>
      </c>
      <c r="I93" s="15">
        <f t="shared" si="4"/>
        <v>0</v>
      </c>
      <c r="J93" s="16">
        <f t="shared" si="5"/>
        <v>0</v>
      </c>
      <c r="K93" s="17">
        <v>27.4</v>
      </c>
      <c r="L93" s="18">
        <v>0.33700000000000002</v>
      </c>
      <c r="M93" s="16">
        <v>0.98399999999999999</v>
      </c>
      <c r="N93" s="14" t="str">
        <f>IF(G93&gt;='Resumen Ejecutivo'!$C$8, "CRÍTICA", IF(G93&gt;='Resumen Ejecutivo'!$C$7, "TEMPRANA", "NORMAL"))</f>
        <v>NORMAL</v>
      </c>
    </row>
    <row r="94" spans="2:14" x14ac:dyDescent="0.25">
      <c r="B94" s="19">
        <v>90</v>
      </c>
      <c r="C94" s="19" t="s">
        <v>116</v>
      </c>
      <c r="D94" s="19" t="s">
        <v>117</v>
      </c>
      <c r="E94" s="19" t="s">
        <v>85</v>
      </c>
      <c r="F94" s="20">
        <v>6</v>
      </c>
      <c r="G94" s="20">
        <v>6</v>
      </c>
      <c r="H94" s="20">
        <f t="shared" si="3"/>
        <v>0</v>
      </c>
      <c r="I94" s="20">
        <f t="shared" si="4"/>
        <v>0</v>
      </c>
      <c r="J94" s="21">
        <f t="shared" si="5"/>
        <v>0</v>
      </c>
      <c r="K94" s="22">
        <v>28.2</v>
      </c>
      <c r="L94" s="23">
        <v>0.373</v>
      </c>
      <c r="M94" s="21">
        <v>0.99399999999999999</v>
      </c>
      <c r="N94" s="19" t="str">
        <f>IF(G94&gt;='Resumen Ejecutivo'!$C$8, "CRÍTICA", IF(G94&gt;='Resumen Ejecutivo'!$C$7, "TEMPRANA", "NORMAL"))</f>
        <v>NORMAL</v>
      </c>
    </row>
    <row r="95" spans="2:14" x14ac:dyDescent="0.25">
      <c r="B95" s="14">
        <v>91</v>
      </c>
      <c r="C95" s="14" t="s">
        <v>116</v>
      </c>
      <c r="D95" s="14" t="s">
        <v>117</v>
      </c>
      <c r="E95" s="14" t="s">
        <v>86</v>
      </c>
      <c r="F95" s="15">
        <v>8</v>
      </c>
      <c r="G95" s="15">
        <v>8</v>
      </c>
      <c r="H95" s="15">
        <f t="shared" si="3"/>
        <v>0</v>
      </c>
      <c r="I95" s="15">
        <f t="shared" si="4"/>
        <v>0</v>
      </c>
      <c r="J95" s="16">
        <f t="shared" si="5"/>
        <v>0</v>
      </c>
      <c r="K95" s="17">
        <v>28</v>
      </c>
      <c r="L95" s="18">
        <v>0.34100000000000003</v>
      </c>
      <c r="M95" s="16">
        <v>0.99</v>
      </c>
      <c r="N95" s="14" t="str">
        <f>IF(G95&gt;='Resumen Ejecutivo'!$C$8, "CRÍTICA", IF(G95&gt;='Resumen Ejecutivo'!$C$7, "TEMPRANA", "NORMAL"))</f>
        <v>NORMAL</v>
      </c>
    </row>
    <row r="96" spans="2:14" x14ac:dyDescent="0.25">
      <c r="B96" s="19">
        <v>92</v>
      </c>
      <c r="C96" s="19" t="s">
        <v>116</v>
      </c>
      <c r="D96" s="19" t="s">
        <v>117</v>
      </c>
      <c r="E96" s="19" t="s">
        <v>87</v>
      </c>
      <c r="F96" s="20">
        <v>6</v>
      </c>
      <c r="G96" s="20">
        <v>6</v>
      </c>
      <c r="H96" s="20">
        <f t="shared" si="3"/>
        <v>0</v>
      </c>
      <c r="I96" s="20">
        <f t="shared" si="4"/>
        <v>0</v>
      </c>
      <c r="J96" s="21">
        <f t="shared" si="5"/>
        <v>0</v>
      </c>
      <c r="K96" s="22">
        <v>27.9</v>
      </c>
      <c r="L96" s="23">
        <v>0.35299999999999998</v>
      </c>
      <c r="M96" s="21">
        <v>0.97799999999999998</v>
      </c>
      <c r="N96" s="19" t="str">
        <f>IF(G96&gt;='Resumen Ejecutivo'!$C$8, "CRÍTICA", IF(G96&gt;='Resumen Ejecutivo'!$C$7, "TEMPRANA", "NORMAL"))</f>
        <v>NORMAL</v>
      </c>
    </row>
    <row r="97" spans="2:14" x14ac:dyDescent="0.25">
      <c r="B97" s="14">
        <v>93</v>
      </c>
      <c r="C97" s="14" t="s">
        <v>116</v>
      </c>
      <c r="D97" s="14" t="s">
        <v>117</v>
      </c>
      <c r="E97" s="14" t="s">
        <v>88</v>
      </c>
      <c r="F97" s="15">
        <v>10</v>
      </c>
      <c r="G97" s="15">
        <v>10</v>
      </c>
      <c r="H97" s="15">
        <f t="shared" si="3"/>
        <v>0</v>
      </c>
      <c r="I97" s="15">
        <f t="shared" si="4"/>
        <v>0</v>
      </c>
      <c r="J97" s="16">
        <f t="shared" si="5"/>
        <v>0</v>
      </c>
      <c r="K97" s="17">
        <v>28.3</v>
      </c>
      <c r="L97" s="18">
        <v>0.33600000000000002</v>
      </c>
      <c r="M97" s="16">
        <v>0.95699999999999996</v>
      </c>
      <c r="N97" s="14" t="str">
        <f>IF(G97&gt;='Resumen Ejecutivo'!$C$8, "CRÍTICA", IF(G97&gt;='Resumen Ejecutivo'!$C$7, "TEMPRANA", "NORMAL"))</f>
        <v>NORMAL</v>
      </c>
    </row>
    <row r="98" spans="2:14" x14ac:dyDescent="0.25">
      <c r="B98" s="19">
        <v>94</v>
      </c>
      <c r="C98" s="19" t="s">
        <v>116</v>
      </c>
      <c r="D98" s="19" t="s">
        <v>117</v>
      </c>
      <c r="E98" s="19" t="s">
        <v>89</v>
      </c>
      <c r="F98" s="20">
        <v>6</v>
      </c>
      <c r="G98" s="20">
        <v>6</v>
      </c>
      <c r="H98" s="20">
        <f t="shared" si="3"/>
        <v>0</v>
      </c>
      <c r="I98" s="20">
        <f t="shared" si="4"/>
        <v>0</v>
      </c>
      <c r="J98" s="21">
        <f t="shared" si="5"/>
        <v>0</v>
      </c>
      <c r="K98" s="22">
        <v>27.5</v>
      </c>
      <c r="L98" s="23">
        <v>0.35699999999999998</v>
      </c>
      <c r="M98" s="21">
        <v>0.97799999999999998</v>
      </c>
      <c r="N98" s="19" t="str">
        <f>IF(G98&gt;='Resumen Ejecutivo'!$C$8, "CRÍTICA", IF(G98&gt;='Resumen Ejecutivo'!$C$7, "TEMPRANA", "NORMAL"))</f>
        <v>NORMAL</v>
      </c>
    </row>
    <row r="99" spans="2:14" x14ac:dyDescent="0.25">
      <c r="B99" s="14">
        <v>95</v>
      </c>
      <c r="C99" s="14" t="s">
        <v>116</v>
      </c>
      <c r="D99" s="14" t="s">
        <v>117</v>
      </c>
      <c r="E99" s="14" t="s">
        <v>90</v>
      </c>
      <c r="F99" s="15">
        <v>5</v>
      </c>
      <c r="G99" s="15">
        <v>5</v>
      </c>
      <c r="H99" s="15">
        <f t="shared" si="3"/>
        <v>0</v>
      </c>
      <c r="I99" s="15">
        <f t="shared" si="4"/>
        <v>0</v>
      </c>
      <c r="J99" s="16">
        <f t="shared" si="5"/>
        <v>0</v>
      </c>
      <c r="K99" s="17">
        <v>27.3</v>
      </c>
      <c r="L99" s="18">
        <v>0.36799999999999999</v>
      </c>
      <c r="M99" s="16">
        <v>0.97199999999999998</v>
      </c>
      <c r="N99" s="14" t="str">
        <f>IF(G99&gt;='Resumen Ejecutivo'!$C$8, "CRÍTICA", IF(G99&gt;='Resumen Ejecutivo'!$C$7, "TEMPRANA", "NORMAL"))</f>
        <v>NORMAL</v>
      </c>
    </row>
    <row r="100" spans="2:14" x14ac:dyDescent="0.25">
      <c r="B100" s="19">
        <v>96</v>
      </c>
      <c r="C100" s="19" t="s">
        <v>116</v>
      </c>
      <c r="D100" s="19" t="s">
        <v>117</v>
      </c>
      <c r="E100" s="19" t="s">
        <v>91</v>
      </c>
      <c r="F100" s="20">
        <v>8</v>
      </c>
      <c r="G100" s="20">
        <v>8</v>
      </c>
      <c r="H100" s="20">
        <f t="shared" si="3"/>
        <v>0</v>
      </c>
      <c r="I100" s="20">
        <f t="shared" si="4"/>
        <v>0</v>
      </c>
      <c r="J100" s="21">
        <f t="shared" si="5"/>
        <v>0</v>
      </c>
      <c r="K100" s="22">
        <v>28.1</v>
      </c>
      <c r="L100" s="23">
        <v>0.375</v>
      </c>
      <c r="M100" s="21">
        <v>0.97099999999999997</v>
      </c>
      <c r="N100" s="19" t="str">
        <f>IF(G100&gt;='Resumen Ejecutivo'!$C$8, "CRÍTICA", IF(G100&gt;='Resumen Ejecutivo'!$C$7, "TEMPRANA", "NORMAL"))</f>
        <v>NORMAL</v>
      </c>
    </row>
    <row r="101" spans="2:14" x14ac:dyDescent="0.25">
      <c r="B101" s="14">
        <v>97</v>
      </c>
      <c r="C101" s="14" t="s">
        <v>116</v>
      </c>
      <c r="D101" s="14" t="s">
        <v>117</v>
      </c>
      <c r="E101" s="14" t="s">
        <v>92</v>
      </c>
      <c r="F101" s="15">
        <v>6</v>
      </c>
      <c r="G101" s="15">
        <v>6</v>
      </c>
      <c r="H101" s="15">
        <f t="shared" si="3"/>
        <v>0</v>
      </c>
      <c r="I101" s="15">
        <f t="shared" si="4"/>
        <v>0</v>
      </c>
      <c r="J101" s="16">
        <f t="shared" si="5"/>
        <v>0</v>
      </c>
      <c r="K101" s="17">
        <v>28.3</v>
      </c>
      <c r="L101" s="18">
        <v>0.35199999999999998</v>
      </c>
      <c r="M101" s="16">
        <v>0.95799999999999996</v>
      </c>
      <c r="N101" s="14" t="str">
        <f>IF(G101&gt;='Resumen Ejecutivo'!$C$8, "CRÍTICA", IF(G101&gt;='Resumen Ejecutivo'!$C$7, "TEMPRANA", "NORMAL"))</f>
        <v>NORMAL</v>
      </c>
    </row>
    <row r="102" spans="2:14" x14ac:dyDescent="0.25">
      <c r="B102" s="19">
        <v>98</v>
      </c>
      <c r="C102" s="19" t="s">
        <v>116</v>
      </c>
      <c r="D102" s="19" t="s">
        <v>117</v>
      </c>
      <c r="E102" s="19" t="s">
        <v>93</v>
      </c>
      <c r="F102" s="20">
        <v>4</v>
      </c>
      <c r="G102" s="20">
        <v>4</v>
      </c>
      <c r="H102" s="20">
        <f t="shared" si="3"/>
        <v>0</v>
      </c>
      <c r="I102" s="20">
        <f t="shared" si="4"/>
        <v>0</v>
      </c>
      <c r="J102" s="21">
        <f t="shared" si="5"/>
        <v>0</v>
      </c>
      <c r="K102" s="22">
        <v>28.2</v>
      </c>
      <c r="L102" s="23">
        <v>0.35299999999999998</v>
      </c>
      <c r="M102" s="21">
        <v>0.98799999999999999</v>
      </c>
      <c r="N102" s="19" t="str">
        <f>IF(G102&gt;='Resumen Ejecutivo'!$C$8, "CRÍTICA", IF(G102&gt;='Resumen Ejecutivo'!$C$7, "TEMPRANA", "NORMAL"))</f>
        <v>NORMAL</v>
      </c>
    </row>
    <row r="103" spans="2:14" x14ac:dyDescent="0.25">
      <c r="B103" s="14">
        <v>99</v>
      </c>
      <c r="C103" s="14" t="s">
        <v>116</v>
      </c>
      <c r="D103" s="14" t="s">
        <v>117</v>
      </c>
      <c r="E103" s="14" t="s">
        <v>94</v>
      </c>
      <c r="F103" s="15">
        <v>8</v>
      </c>
      <c r="G103" s="15">
        <v>8</v>
      </c>
      <c r="H103" s="15">
        <f t="shared" si="3"/>
        <v>0</v>
      </c>
      <c r="I103" s="15">
        <f t="shared" si="4"/>
        <v>0</v>
      </c>
      <c r="J103" s="16">
        <f t="shared" si="5"/>
        <v>0</v>
      </c>
      <c r="K103" s="17">
        <v>28.1</v>
      </c>
      <c r="L103" s="18">
        <v>0.34399999999999997</v>
      </c>
      <c r="M103" s="16">
        <v>0.98899999999999999</v>
      </c>
      <c r="N103" s="14" t="str">
        <f>IF(G103&gt;='Resumen Ejecutivo'!$C$8, "CRÍTICA", IF(G103&gt;='Resumen Ejecutivo'!$C$7, "TEMPRANA", "NORMAL"))</f>
        <v>NORMAL</v>
      </c>
    </row>
    <row r="104" spans="2:14" x14ac:dyDescent="0.25">
      <c r="B104" s="19">
        <v>100</v>
      </c>
      <c r="C104" s="19" t="s">
        <v>116</v>
      </c>
      <c r="D104" s="19" t="s">
        <v>117</v>
      </c>
      <c r="E104" s="19" t="s">
        <v>95</v>
      </c>
      <c r="F104" s="20">
        <v>5</v>
      </c>
      <c r="G104" s="20">
        <v>5</v>
      </c>
      <c r="H104" s="20">
        <f t="shared" si="3"/>
        <v>0</v>
      </c>
      <c r="I104" s="20">
        <f t="shared" si="4"/>
        <v>0</v>
      </c>
      <c r="J104" s="21">
        <f t="shared" si="5"/>
        <v>0</v>
      </c>
      <c r="K104" s="22">
        <v>27.6</v>
      </c>
      <c r="L104" s="23">
        <v>0.34200000000000003</v>
      </c>
      <c r="M104" s="21">
        <v>0.97199999999999998</v>
      </c>
      <c r="N104" s="19" t="str">
        <f>IF(G104&gt;='Resumen Ejecutivo'!$C$8, "CRÍTICA", IF(G104&gt;='Resumen Ejecutivo'!$C$7, "TEMPRANA", "NORMAL"))</f>
        <v>NORMAL</v>
      </c>
    </row>
    <row r="105" spans="2:14" x14ac:dyDescent="0.25">
      <c r="B105" s="14">
        <v>101</v>
      </c>
      <c r="C105" s="14" t="s">
        <v>116</v>
      </c>
      <c r="D105" s="14" t="s">
        <v>117</v>
      </c>
      <c r="E105" s="14" t="s">
        <v>96</v>
      </c>
      <c r="F105" s="15">
        <v>6</v>
      </c>
      <c r="G105" s="15">
        <v>6</v>
      </c>
      <c r="H105" s="15">
        <f t="shared" si="3"/>
        <v>0</v>
      </c>
      <c r="I105" s="15">
        <f t="shared" si="4"/>
        <v>0</v>
      </c>
      <c r="J105" s="16">
        <f t="shared" si="5"/>
        <v>0</v>
      </c>
      <c r="K105" s="17">
        <v>27.9</v>
      </c>
      <c r="L105" s="18">
        <v>0.34200000000000003</v>
      </c>
      <c r="M105" s="16">
        <v>0.96699999999999997</v>
      </c>
      <c r="N105" s="14" t="str">
        <f>IF(G105&gt;='Resumen Ejecutivo'!$C$8, "CRÍTICA", IF(G105&gt;='Resumen Ejecutivo'!$C$7, "TEMPRANA", "NORMAL"))</f>
        <v>NORMAL</v>
      </c>
    </row>
    <row r="106" spans="2:14" x14ac:dyDescent="0.25">
      <c r="B106" s="19">
        <v>102</v>
      </c>
      <c r="C106" s="19" t="s">
        <v>116</v>
      </c>
      <c r="D106" s="19" t="s">
        <v>117</v>
      </c>
      <c r="E106" s="19" t="s">
        <v>97</v>
      </c>
      <c r="F106" s="20">
        <v>7</v>
      </c>
      <c r="G106" s="20">
        <v>7</v>
      </c>
      <c r="H106" s="20">
        <f t="shared" si="3"/>
        <v>0</v>
      </c>
      <c r="I106" s="20">
        <f t="shared" si="4"/>
        <v>0</v>
      </c>
      <c r="J106" s="21">
        <f t="shared" si="5"/>
        <v>0</v>
      </c>
      <c r="K106" s="22">
        <v>28.2</v>
      </c>
      <c r="L106" s="23">
        <v>0.33400000000000002</v>
      </c>
      <c r="M106" s="21">
        <v>0.95799999999999996</v>
      </c>
      <c r="N106" s="19" t="str">
        <f>IF(G106&gt;='Resumen Ejecutivo'!$C$8, "CRÍTICA", IF(G106&gt;='Resumen Ejecutivo'!$C$7, "TEMPRANA", "NORMAL"))</f>
        <v>NORMAL</v>
      </c>
    </row>
    <row r="107" spans="2:14" x14ac:dyDescent="0.25">
      <c r="B107" s="14">
        <v>103</v>
      </c>
      <c r="C107" s="14" t="s">
        <v>116</v>
      </c>
      <c r="D107" s="14" t="s">
        <v>117</v>
      </c>
      <c r="E107" s="14" t="s">
        <v>98</v>
      </c>
      <c r="F107" s="15">
        <v>6</v>
      </c>
      <c r="G107" s="15">
        <v>8</v>
      </c>
      <c r="H107" s="15">
        <f t="shared" si="3"/>
        <v>2</v>
      </c>
      <c r="I107" s="15">
        <f t="shared" si="4"/>
        <v>4</v>
      </c>
      <c r="J107" s="16">
        <f t="shared" si="5"/>
        <v>0.33333333333333331</v>
      </c>
      <c r="K107" s="17">
        <v>27.4</v>
      </c>
      <c r="L107" s="18">
        <v>0.33800000000000002</v>
      </c>
      <c r="M107" s="16">
        <v>0.96099999999999997</v>
      </c>
      <c r="N107" s="14" t="str">
        <f>IF(G107&gt;='Resumen Ejecutivo'!$C$8, "CRÍTICA", IF(G107&gt;='Resumen Ejecutivo'!$C$7, "TEMPRANA", "NORMAL"))</f>
        <v>NORMAL</v>
      </c>
    </row>
    <row r="108" spans="2:14" x14ac:dyDescent="0.25">
      <c r="B108" s="19">
        <v>104</v>
      </c>
      <c r="C108" s="19" t="s">
        <v>116</v>
      </c>
      <c r="D108" s="19" t="s">
        <v>117</v>
      </c>
      <c r="E108" s="19" t="s">
        <v>99</v>
      </c>
      <c r="F108" s="20">
        <v>7</v>
      </c>
      <c r="G108" s="20">
        <v>7</v>
      </c>
      <c r="H108" s="20">
        <f t="shared" si="3"/>
        <v>0</v>
      </c>
      <c r="I108" s="20">
        <f t="shared" si="4"/>
        <v>0</v>
      </c>
      <c r="J108" s="21">
        <f t="shared" si="5"/>
        <v>0</v>
      </c>
      <c r="K108" s="22">
        <v>27.5</v>
      </c>
      <c r="L108" s="23">
        <v>0.34699999999999998</v>
      </c>
      <c r="M108" s="21">
        <v>0.97299999999999998</v>
      </c>
      <c r="N108" s="19" t="str">
        <f>IF(G108&gt;='Resumen Ejecutivo'!$C$8, "CRÍTICA", IF(G108&gt;='Resumen Ejecutivo'!$C$7, "TEMPRANA", "NORMAL"))</f>
        <v>NORMAL</v>
      </c>
    </row>
    <row r="109" spans="2:14" x14ac:dyDescent="0.25">
      <c r="B109" s="14">
        <v>105</v>
      </c>
      <c r="C109" s="14" t="s">
        <v>116</v>
      </c>
      <c r="D109" s="14" t="s">
        <v>117</v>
      </c>
      <c r="E109" s="14" t="s">
        <v>100</v>
      </c>
      <c r="F109" s="15">
        <v>11</v>
      </c>
      <c r="G109" s="15">
        <v>11</v>
      </c>
      <c r="H109" s="15">
        <f t="shared" si="3"/>
        <v>0</v>
      </c>
      <c r="I109" s="15">
        <f t="shared" si="4"/>
        <v>0</v>
      </c>
      <c r="J109" s="16">
        <f t="shared" si="5"/>
        <v>0</v>
      </c>
      <c r="K109" s="17">
        <v>26.9</v>
      </c>
      <c r="L109" s="18">
        <v>0.372</v>
      </c>
      <c r="M109" s="16">
        <v>0.96899999999999997</v>
      </c>
      <c r="N109" s="14" t="str">
        <f>IF(G109&gt;='Resumen Ejecutivo'!$C$8, "CRÍTICA", IF(G109&gt;='Resumen Ejecutivo'!$C$7, "TEMPRANA", "NORMAL"))</f>
        <v>NORMAL</v>
      </c>
    </row>
    <row r="110" spans="2:14" x14ac:dyDescent="0.25">
      <c r="B110" s="19">
        <v>106</v>
      </c>
      <c r="C110" s="19" t="s">
        <v>116</v>
      </c>
      <c r="D110" s="19" t="s">
        <v>117</v>
      </c>
      <c r="E110" s="19" t="s">
        <v>101</v>
      </c>
      <c r="F110" s="20">
        <v>2</v>
      </c>
      <c r="G110" s="20">
        <v>2</v>
      </c>
      <c r="H110" s="20">
        <f t="shared" si="3"/>
        <v>0</v>
      </c>
      <c r="I110" s="20">
        <f t="shared" si="4"/>
        <v>0</v>
      </c>
      <c r="J110" s="21">
        <f t="shared" si="5"/>
        <v>0</v>
      </c>
      <c r="K110" s="22">
        <v>28</v>
      </c>
      <c r="L110" s="23">
        <v>0.377</v>
      </c>
      <c r="M110" s="21">
        <v>0.95099999999999996</v>
      </c>
      <c r="N110" s="19" t="str">
        <f>IF(G110&gt;='Resumen Ejecutivo'!$C$8, "CRÍTICA", IF(G110&gt;='Resumen Ejecutivo'!$C$7, "TEMPRANA", "NORMAL"))</f>
        <v>NORMAL</v>
      </c>
    </row>
    <row r="111" spans="2:14" x14ac:dyDescent="0.25">
      <c r="B111" s="14">
        <v>107</v>
      </c>
      <c r="C111" s="14" t="s">
        <v>116</v>
      </c>
      <c r="D111" s="14" t="s">
        <v>117</v>
      </c>
      <c r="E111" s="14" t="s">
        <v>102</v>
      </c>
      <c r="F111" s="15">
        <v>1</v>
      </c>
      <c r="G111" s="15">
        <v>1</v>
      </c>
      <c r="H111" s="15">
        <f t="shared" si="3"/>
        <v>0</v>
      </c>
      <c r="I111" s="15">
        <f t="shared" si="4"/>
        <v>0</v>
      </c>
      <c r="J111" s="16">
        <f t="shared" si="5"/>
        <v>0</v>
      </c>
      <c r="K111" s="17">
        <v>28.2</v>
      </c>
      <c r="L111" s="18">
        <v>0.35899999999999999</v>
      </c>
      <c r="M111" s="16">
        <v>0.97399999999999998</v>
      </c>
      <c r="N111" s="14" t="str">
        <f>IF(G111&gt;='Resumen Ejecutivo'!$C$8, "CRÍTICA", IF(G111&gt;='Resumen Ejecutivo'!$C$7, "TEMPRANA", "NORMAL"))</f>
        <v>NORMAL</v>
      </c>
    </row>
    <row r="112" spans="2:14" x14ac:dyDescent="0.25">
      <c r="B112" s="19">
        <v>108</v>
      </c>
      <c r="C112" s="19" t="s">
        <v>116</v>
      </c>
      <c r="D112" s="19" t="s">
        <v>117</v>
      </c>
      <c r="E112" s="19" t="s">
        <v>103</v>
      </c>
      <c r="F112" s="20">
        <v>3</v>
      </c>
      <c r="G112" s="20">
        <v>3</v>
      </c>
      <c r="H112" s="20">
        <f t="shared" si="3"/>
        <v>0</v>
      </c>
      <c r="I112" s="20">
        <f t="shared" si="4"/>
        <v>0</v>
      </c>
      <c r="J112" s="21">
        <f t="shared" si="5"/>
        <v>0</v>
      </c>
      <c r="K112" s="22">
        <v>28.3</v>
      </c>
      <c r="L112" s="23">
        <v>0.34499999999999997</v>
      </c>
      <c r="M112" s="21">
        <v>0.96899999999999997</v>
      </c>
      <c r="N112" s="19" t="str">
        <f>IF(G112&gt;='Resumen Ejecutivo'!$C$8, "CRÍTICA", IF(G112&gt;='Resumen Ejecutivo'!$C$7, "TEMPRANA", "NORMAL"))</f>
        <v>NORMAL</v>
      </c>
    </row>
    <row r="113" spans="2:14" x14ac:dyDescent="0.25">
      <c r="B113" s="14">
        <v>109</v>
      </c>
      <c r="C113" s="14" t="s">
        <v>116</v>
      </c>
      <c r="D113" s="14" t="s">
        <v>117</v>
      </c>
      <c r="E113" s="14" t="s">
        <v>104</v>
      </c>
      <c r="F113" s="15">
        <v>3</v>
      </c>
      <c r="G113" s="15">
        <v>3</v>
      </c>
      <c r="H113" s="15">
        <f t="shared" si="3"/>
        <v>0</v>
      </c>
      <c r="I113" s="15">
        <f t="shared" si="4"/>
        <v>0</v>
      </c>
      <c r="J113" s="16">
        <f t="shared" si="5"/>
        <v>0</v>
      </c>
      <c r="K113" s="17">
        <v>28.2</v>
      </c>
      <c r="L113" s="18">
        <v>0.372</v>
      </c>
      <c r="M113" s="16">
        <v>0.97699999999999998</v>
      </c>
      <c r="N113" s="14" t="str">
        <f>IF(G113&gt;='Resumen Ejecutivo'!$C$8, "CRÍTICA", IF(G113&gt;='Resumen Ejecutivo'!$C$7, "TEMPRANA", "NORMAL"))</f>
        <v>NORMAL</v>
      </c>
    </row>
    <row r="114" spans="2:14" x14ac:dyDescent="0.25">
      <c r="B114" s="19">
        <v>110</v>
      </c>
      <c r="C114" s="19" t="s">
        <v>116</v>
      </c>
      <c r="D114" s="19" t="s">
        <v>117</v>
      </c>
      <c r="E114" s="19" t="s">
        <v>105</v>
      </c>
      <c r="F114" s="20">
        <v>2</v>
      </c>
      <c r="G114" s="20">
        <v>2</v>
      </c>
      <c r="H114" s="20">
        <f t="shared" si="3"/>
        <v>0</v>
      </c>
      <c r="I114" s="20">
        <f t="shared" si="4"/>
        <v>0</v>
      </c>
      <c r="J114" s="21">
        <f t="shared" si="5"/>
        <v>0</v>
      </c>
      <c r="K114" s="22">
        <v>28</v>
      </c>
      <c r="L114" s="23">
        <v>0.37</v>
      </c>
      <c r="M114" s="21">
        <v>0.995</v>
      </c>
      <c r="N114" s="19" t="str">
        <f>IF(G114&gt;='Resumen Ejecutivo'!$C$8, "CRÍTICA", IF(G114&gt;='Resumen Ejecutivo'!$C$7, "TEMPRANA", "NORMAL"))</f>
        <v>NORMAL</v>
      </c>
    </row>
    <row r="115" spans="2:14" x14ac:dyDescent="0.25">
      <c r="B115" s="14">
        <v>111</v>
      </c>
      <c r="C115" s="14" t="s">
        <v>116</v>
      </c>
      <c r="D115" s="14" t="s">
        <v>117</v>
      </c>
      <c r="E115" s="14" t="s">
        <v>106</v>
      </c>
      <c r="F115" s="15">
        <v>2</v>
      </c>
      <c r="G115" s="15">
        <v>2</v>
      </c>
      <c r="H115" s="15">
        <f t="shared" si="3"/>
        <v>0</v>
      </c>
      <c r="I115" s="15">
        <f t="shared" si="4"/>
        <v>0</v>
      </c>
      <c r="J115" s="16">
        <f t="shared" si="5"/>
        <v>0</v>
      </c>
      <c r="K115" s="17">
        <v>27.6</v>
      </c>
      <c r="L115" s="18">
        <v>0.34399999999999997</v>
      </c>
      <c r="M115" s="16">
        <v>0.97399999999999998</v>
      </c>
      <c r="N115" s="14" t="str">
        <f>IF(G115&gt;='Resumen Ejecutivo'!$C$8, "CRÍTICA", IF(G115&gt;='Resumen Ejecutivo'!$C$7, "TEMPRANA", "NORMAL"))</f>
        <v>NORMAL</v>
      </c>
    </row>
    <row r="116" spans="2:14" x14ac:dyDescent="0.25">
      <c r="B116" s="19">
        <v>112</v>
      </c>
      <c r="C116" s="19" t="s">
        <v>116</v>
      </c>
      <c r="D116" s="19" t="s">
        <v>117</v>
      </c>
      <c r="E116" s="19" t="s">
        <v>107</v>
      </c>
      <c r="F116" s="20">
        <v>3</v>
      </c>
      <c r="G116" s="20">
        <v>3</v>
      </c>
      <c r="H116" s="20">
        <f t="shared" si="3"/>
        <v>0</v>
      </c>
      <c r="I116" s="20">
        <f t="shared" si="4"/>
        <v>0</v>
      </c>
      <c r="J116" s="21">
        <f t="shared" si="5"/>
        <v>0</v>
      </c>
      <c r="K116" s="22">
        <v>27.4</v>
      </c>
      <c r="L116" s="23">
        <v>0.36299999999999999</v>
      </c>
      <c r="M116" s="21">
        <v>0.99</v>
      </c>
      <c r="N116" s="19" t="str">
        <f>IF(G116&gt;='Resumen Ejecutivo'!$C$8, "CRÍTICA", IF(G116&gt;='Resumen Ejecutivo'!$C$7, "TEMPRANA", "NORMAL"))</f>
        <v>NORMAL</v>
      </c>
    </row>
    <row r="117" spans="2:14" x14ac:dyDescent="0.25">
      <c r="B117" s="14">
        <v>113</v>
      </c>
      <c r="C117" s="14" t="s">
        <v>116</v>
      </c>
      <c r="D117" s="14" t="s">
        <v>117</v>
      </c>
      <c r="E117" s="14" t="s">
        <v>108</v>
      </c>
      <c r="F117" s="15">
        <v>2</v>
      </c>
      <c r="G117" s="15">
        <v>2</v>
      </c>
      <c r="H117" s="15">
        <f t="shared" si="3"/>
        <v>0</v>
      </c>
      <c r="I117" s="15">
        <f t="shared" si="4"/>
        <v>0</v>
      </c>
      <c r="J117" s="16">
        <f t="shared" si="5"/>
        <v>0</v>
      </c>
      <c r="K117" s="17">
        <v>28</v>
      </c>
      <c r="L117" s="18">
        <v>0.372</v>
      </c>
      <c r="M117" s="16">
        <v>0.996</v>
      </c>
      <c r="N117" s="14" t="str">
        <f>IF(G117&gt;='Resumen Ejecutivo'!$C$8, "CRÍTICA", IF(G117&gt;='Resumen Ejecutivo'!$C$7, "TEMPRANA", "NORMAL"))</f>
        <v>NORMAL</v>
      </c>
    </row>
    <row r="118" spans="2:14" x14ac:dyDescent="0.25">
      <c r="B118" s="19">
        <v>114</v>
      </c>
      <c r="C118" s="19" t="s">
        <v>116</v>
      </c>
      <c r="D118" s="19" t="s">
        <v>117</v>
      </c>
      <c r="E118" s="19" t="s">
        <v>109</v>
      </c>
      <c r="F118" s="20">
        <v>0</v>
      </c>
      <c r="G118" s="20">
        <v>0</v>
      </c>
      <c r="H118" s="20">
        <f t="shared" si="3"/>
        <v>0</v>
      </c>
      <c r="I118" s="20">
        <f t="shared" si="4"/>
        <v>0</v>
      </c>
      <c r="J118" s="21">
        <f t="shared" si="5"/>
        <v>0</v>
      </c>
      <c r="K118" s="22">
        <v>28.4</v>
      </c>
      <c r="L118" s="23">
        <v>0.35699999999999998</v>
      </c>
      <c r="M118" s="21">
        <v>0.995</v>
      </c>
      <c r="N118" s="19" t="str">
        <f>IF(G118&gt;='Resumen Ejecutivo'!$C$8, "CRÍTICA", IF(G118&gt;='Resumen Ejecutivo'!$C$7, "TEMPRANA", "NORMAL"))</f>
        <v>NORMAL</v>
      </c>
    </row>
    <row r="119" spans="2:14" x14ac:dyDescent="0.25">
      <c r="B119" s="14">
        <v>115</v>
      </c>
      <c r="C119" s="14" t="s">
        <v>116</v>
      </c>
      <c r="D119" s="14" t="s">
        <v>117</v>
      </c>
      <c r="E119" s="14" t="s">
        <v>110</v>
      </c>
      <c r="F119" s="15">
        <v>0</v>
      </c>
      <c r="G119" s="15">
        <v>0</v>
      </c>
      <c r="H119" s="15">
        <f t="shared" si="3"/>
        <v>0</v>
      </c>
      <c r="I119" s="15">
        <f t="shared" si="4"/>
        <v>0</v>
      </c>
      <c r="J119" s="16">
        <f t="shared" si="5"/>
        <v>0</v>
      </c>
      <c r="K119" s="17">
        <v>27.7</v>
      </c>
      <c r="L119" s="18">
        <v>0.36299999999999999</v>
      </c>
      <c r="M119" s="16">
        <v>0.95399999999999996</v>
      </c>
      <c r="N119" s="14" t="str">
        <f>IF(G119&gt;='Resumen Ejecutivo'!$C$8, "CRÍTICA", IF(G119&gt;='Resumen Ejecutivo'!$C$7, "TEMPRANA", "NORMAL"))</f>
        <v>NORMAL</v>
      </c>
    </row>
    <row r="120" spans="2:14" x14ac:dyDescent="0.25">
      <c r="B120" s="19">
        <v>116</v>
      </c>
      <c r="C120" s="19" t="s">
        <v>116</v>
      </c>
      <c r="D120" s="19" t="s">
        <v>117</v>
      </c>
      <c r="E120" s="19" t="s">
        <v>111</v>
      </c>
      <c r="F120" s="20">
        <v>1</v>
      </c>
      <c r="G120" s="20">
        <v>1</v>
      </c>
      <c r="H120" s="20">
        <f t="shared" si="3"/>
        <v>0</v>
      </c>
      <c r="I120" s="20">
        <f t="shared" si="4"/>
        <v>0</v>
      </c>
      <c r="J120" s="21">
        <f t="shared" si="5"/>
        <v>0</v>
      </c>
      <c r="K120" s="22">
        <v>27.5</v>
      </c>
      <c r="L120" s="23">
        <v>0.373</v>
      </c>
      <c r="M120" s="21">
        <v>0.95899999999999996</v>
      </c>
      <c r="N120" s="19" t="str">
        <f>IF(G120&gt;='Resumen Ejecutivo'!$C$8, "CRÍTICA", IF(G120&gt;='Resumen Ejecutivo'!$C$7, "TEMPRANA", "NORMAL"))</f>
        <v>NORMAL</v>
      </c>
    </row>
    <row r="121" spans="2:14" x14ac:dyDescent="0.25">
      <c r="B121" s="14">
        <v>117</v>
      </c>
      <c r="C121" s="14" t="s">
        <v>116</v>
      </c>
      <c r="D121" s="14" t="s">
        <v>117</v>
      </c>
      <c r="E121" s="14" t="s">
        <v>112</v>
      </c>
      <c r="F121" s="15">
        <v>3</v>
      </c>
      <c r="G121" s="15">
        <v>3</v>
      </c>
      <c r="H121" s="15">
        <f t="shared" si="3"/>
        <v>0</v>
      </c>
      <c r="I121" s="15">
        <f t="shared" si="4"/>
        <v>0</v>
      </c>
      <c r="J121" s="16">
        <f t="shared" si="5"/>
        <v>0</v>
      </c>
      <c r="K121" s="17">
        <v>27.2</v>
      </c>
      <c r="L121" s="18">
        <v>0.34599999999999997</v>
      </c>
      <c r="M121" s="16">
        <v>0.97299999999999998</v>
      </c>
      <c r="N121" s="14" t="str">
        <f>IF(G121&gt;='Resumen Ejecutivo'!$C$8, "CRÍTICA", IF(G121&gt;='Resumen Ejecutivo'!$C$7, "TEMPRANA", "NORMAL"))</f>
        <v>NORMAL</v>
      </c>
    </row>
    <row r="122" spans="2:14" x14ac:dyDescent="0.25">
      <c r="B122" s="19">
        <v>118</v>
      </c>
      <c r="C122" s="19" t="s">
        <v>116</v>
      </c>
      <c r="D122" s="19" t="s">
        <v>117</v>
      </c>
      <c r="E122" s="19" t="s">
        <v>113</v>
      </c>
      <c r="F122" s="20">
        <v>4</v>
      </c>
      <c r="G122" s="20">
        <v>3</v>
      </c>
      <c r="H122" s="20">
        <f t="shared" si="3"/>
        <v>1</v>
      </c>
      <c r="I122" s="20">
        <f t="shared" si="4"/>
        <v>1</v>
      </c>
      <c r="J122" s="21">
        <f t="shared" si="5"/>
        <v>0.25</v>
      </c>
      <c r="K122" s="22">
        <v>27.3</v>
      </c>
      <c r="L122" s="23">
        <v>0.374</v>
      </c>
      <c r="M122" s="21">
        <v>0.96399999999999997</v>
      </c>
      <c r="N122" s="19" t="str">
        <f>IF(G122&gt;='Resumen Ejecutivo'!$C$8, "CRÍTICA", IF(G122&gt;='Resumen Ejecutivo'!$C$7, "TEMPRANA", "NORMAL"))</f>
        <v>NORMAL</v>
      </c>
    </row>
    <row r="123" spans="2:14" x14ac:dyDescent="0.25">
      <c r="B123" s="14">
        <v>119</v>
      </c>
      <c r="C123" s="14" t="s">
        <v>116</v>
      </c>
      <c r="D123" s="14" t="s">
        <v>117</v>
      </c>
      <c r="E123" s="14" t="s">
        <v>114</v>
      </c>
      <c r="F123" s="15">
        <v>4</v>
      </c>
      <c r="G123" s="15">
        <v>3</v>
      </c>
      <c r="H123" s="15">
        <f t="shared" si="3"/>
        <v>1</v>
      </c>
      <c r="I123" s="15">
        <f t="shared" si="4"/>
        <v>1</v>
      </c>
      <c r="J123" s="16">
        <f t="shared" si="5"/>
        <v>0.25</v>
      </c>
      <c r="K123" s="17">
        <v>28.3</v>
      </c>
      <c r="L123" s="18">
        <v>0.35099999999999998</v>
      </c>
      <c r="M123" s="16">
        <v>0.99199999999999999</v>
      </c>
      <c r="N123" s="14" t="str">
        <f>IF(G123&gt;='Resumen Ejecutivo'!$C$8, "CRÍTICA", IF(G123&gt;='Resumen Ejecutivo'!$C$7, "TEMPRANA", "NORMAL"))</f>
        <v>NORMAL</v>
      </c>
    </row>
    <row r="124" spans="2:14" x14ac:dyDescent="0.25">
      <c r="B124" s="19">
        <v>120</v>
      </c>
      <c r="C124" s="19" t="s">
        <v>116</v>
      </c>
      <c r="D124" s="19" t="s">
        <v>117</v>
      </c>
      <c r="E124" s="19" t="s">
        <v>115</v>
      </c>
      <c r="F124" s="20">
        <v>4</v>
      </c>
      <c r="G124" s="20">
        <v>4</v>
      </c>
      <c r="H124" s="20">
        <f t="shared" si="3"/>
        <v>0</v>
      </c>
      <c r="I124" s="20">
        <f t="shared" si="4"/>
        <v>0</v>
      </c>
      <c r="J124" s="21">
        <f t="shared" si="5"/>
        <v>0</v>
      </c>
      <c r="K124" s="22">
        <v>27.6</v>
      </c>
      <c r="L124" s="23">
        <v>0.36699999999999999</v>
      </c>
      <c r="M124" s="21">
        <v>0.95299999999999996</v>
      </c>
      <c r="N124" s="19" t="str">
        <f>IF(G124&gt;='Resumen Ejecutivo'!$C$8, "CRÍTICA", IF(G124&gt;='Resumen Ejecutivo'!$C$7, "TEMPRANA", "NORMAL"))</f>
        <v>NORMAL</v>
      </c>
    </row>
    <row r="125" spans="2:14" x14ac:dyDescent="0.25">
      <c r="B125" s="14">
        <v>121</v>
      </c>
      <c r="C125" s="14" t="s">
        <v>118</v>
      </c>
      <c r="D125" s="14" t="s">
        <v>119</v>
      </c>
      <c r="E125" s="14" t="s">
        <v>56</v>
      </c>
      <c r="F125" s="15">
        <v>3</v>
      </c>
      <c r="G125" s="15">
        <v>3</v>
      </c>
      <c r="H125" s="15">
        <f t="shared" si="3"/>
        <v>0</v>
      </c>
      <c r="I125" s="15">
        <f t="shared" si="4"/>
        <v>0</v>
      </c>
      <c r="J125" s="16">
        <f t="shared" si="5"/>
        <v>0</v>
      </c>
      <c r="K125" s="17">
        <v>26.9</v>
      </c>
      <c r="L125" s="18">
        <v>0.36599999999999999</v>
      </c>
      <c r="M125" s="16">
        <v>0.97399999999999998</v>
      </c>
      <c r="N125" s="14" t="str">
        <f>IF(G125&gt;='Resumen Ejecutivo'!$C$8, "CRÍTICA", IF(G125&gt;='Resumen Ejecutivo'!$C$7, "TEMPRANA", "NORMAL"))</f>
        <v>NORMAL</v>
      </c>
    </row>
    <row r="126" spans="2:14" x14ac:dyDescent="0.25">
      <c r="B126" s="19">
        <v>122</v>
      </c>
      <c r="C126" s="19" t="s">
        <v>118</v>
      </c>
      <c r="D126" s="19" t="s">
        <v>119</v>
      </c>
      <c r="E126" s="19" t="s">
        <v>57</v>
      </c>
      <c r="F126" s="20">
        <v>2</v>
      </c>
      <c r="G126" s="20">
        <v>2</v>
      </c>
      <c r="H126" s="20">
        <f t="shared" si="3"/>
        <v>0</v>
      </c>
      <c r="I126" s="20">
        <f t="shared" si="4"/>
        <v>0</v>
      </c>
      <c r="J126" s="21">
        <f t="shared" si="5"/>
        <v>0</v>
      </c>
      <c r="K126" s="22">
        <v>28</v>
      </c>
      <c r="L126" s="23">
        <v>0.36499999999999999</v>
      </c>
      <c r="M126" s="21">
        <v>0.98199999999999998</v>
      </c>
      <c r="N126" s="19" t="str">
        <f>IF(G126&gt;='Resumen Ejecutivo'!$C$8, "CRÍTICA", IF(G126&gt;='Resumen Ejecutivo'!$C$7, "TEMPRANA", "NORMAL"))</f>
        <v>NORMAL</v>
      </c>
    </row>
    <row r="127" spans="2:14" x14ac:dyDescent="0.25">
      <c r="B127" s="14">
        <v>123</v>
      </c>
      <c r="C127" s="14" t="s">
        <v>118</v>
      </c>
      <c r="D127" s="14" t="s">
        <v>119</v>
      </c>
      <c r="E127" s="14" t="s">
        <v>58</v>
      </c>
      <c r="F127" s="15">
        <v>2</v>
      </c>
      <c r="G127" s="15">
        <v>2</v>
      </c>
      <c r="H127" s="15">
        <f t="shared" si="3"/>
        <v>0</v>
      </c>
      <c r="I127" s="15">
        <f t="shared" si="4"/>
        <v>0</v>
      </c>
      <c r="J127" s="16">
        <f t="shared" si="5"/>
        <v>0</v>
      </c>
      <c r="K127" s="17">
        <v>27.6</v>
      </c>
      <c r="L127" s="18">
        <v>0.37</v>
      </c>
      <c r="M127" s="16">
        <v>0.95499999999999996</v>
      </c>
      <c r="N127" s="14" t="str">
        <f>IF(G127&gt;='Resumen Ejecutivo'!$C$8, "CRÍTICA", IF(G127&gt;='Resumen Ejecutivo'!$C$7, "TEMPRANA", "NORMAL"))</f>
        <v>NORMAL</v>
      </c>
    </row>
    <row r="128" spans="2:14" x14ac:dyDescent="0.25">
      <c r="B128" s="19">
        <v>124</v>
      </c>
      <c r="C128" s="19" t="s">
        <v>118</v>
      </c>
      <c r="D128" s="19" t="s">
        <v>119</v>
      </c>
      <c r="E128" s="19" t="s">
        <v>59</v>
      </c>
      <c r="F128" s="20">
        <v>4</v>
      </c>
      <c r="G128" s="20">
        <v>5</v>
      </c>
      <c r="H128" s="20">
        <f t="shared" si="3"/>
        <v>1</v>
      </c>
      <c r="I128" s="20">
        <f t="shared" si="4"/>
        <v>1</v>
      </c>
      <c r="J128" s="21">
        <f t="shared" si="5"/>
        <v>0.25</v>
      </c>
      <c r="K128" s="22">
        <v>27.2</v>
      </c>
      <c r="L128" s="23">
        <v>0.36499999999999999</v>
      </c>
      <c r="M128" s="21">
        <v>0.96499999999999997</v>
      </c>
      <c r="N128" s="19" t="str">
        <f>IF(G128&gt;='Resumen Ejecutivo'!$C$8, "CRÍTICA", IF(G128&gt;='Resumen Ejecutivo'!$C$7, "TEMPRANA", "NORMAL"))</f>
        <v>NORMAL</v>
      </c>
    </row>
    <row r="129" spans="2:14" x14ac:dyDescent="0.25">
      <c r="B129" s="14">
        <v>125</v>
      </c>
      <c r="C129" s="14" t="s">
        <v>118</v>
      </c>
      <c r="D129" s="14" t="s">
        <v>119</v>
      </c>
      <c r="E129" s="14" t="s">
        <v>60</v>
      </c>
      <c r="F129" s="15">
        <v>0</v>
      </c>
      <c r="G129" s="15">
        <v>0</v>
      </c>
      <c r="H129" s="15">
        <f t="shared" si="3"/>
        <v>0</v>
      </c>
      <c r="I129" s="15">
        <f t="shared" si="4"/>
        <v>0</v>
      </c>
      <c r="J129" s="16">
        <f t="shared" si="5"/>
        <v>0</v>
      </c>
      <c r="K129" s="17">
        <v>27.7</v>
      </c>
      <c r="L129" s="18">
        <v>0.35399999999999998</v>
      </c>
      <c r="M129" s="16">
        <v>0.97699999999999998</v>
      </c>
      <c r="N129" s="14" t="str">
        <f>IF(G129&gt;='Resumen Ejecutivo'!$C$8, "CRÍTICA", IF(G129&gt;='Resumen Ejecutivo'!$C$7, "TEMPRANA", "NORMAL"))</f>
        <v>NORMAL</v>
      </c>
    </row>
    <row r="130" spans="2:14" x14ac:dyDescent="0.25">
      <c r="B130" s="19">
        <v>126</v>
      </c>
      <c r="C130" s="19" t="s">
        <v>118</v>
      </c>
      <c r="D130" s="19" t="s">
        <v>119</v>
      </c>
      <c r="E130" s="19" t="s">
        <v>61</v>
      </c>
      <c r="F130" s="20">
        <v>1</v>
      </c>
      <c r="G130" s="20">
        <v>1</v>
      </c>
      <c r="H130" s="20">
        <f t="shared" si="3"/>
        <v>0</v>
      </c>
      <c r="I130" s="20">
        <f t="shared" si="4"/>
        <v>0</v>
      </c>
      <c r="J130" s="21">
        <f t="shared" si="5"/>
        <v>0</v>
      </c>
      <c r="K130" s="22">
        <v>27.5</v>
      </c>
      <c r="L130" s="23">
        <v>0.36699999999999999</v>
      </c>
      <c r="M130" s="21">
        <v>0.96699999999999997</v>
      </c>
      <c r="N130" s="19" t="str">
        <f>IF(G130&gt;='Resumen Ejecutivo'!$C$8, "CRÍTICA", IF(G130&gt;='Resumen Ejecutivo'!$C$7, "TEMPRANA", "NORMAL"))</f>
        <v>NORMAL</v>
      </c>
    </row>
    <row r="131" spans="2:14" x14ac:dyDescent="0.25">
      <c r="B131" s="14">
        <v>127</v>
      </c>
      <c r="C131" s="14" t="s">
        <v>118</v>
      </c>
      <c r="D131" s="14" t="s">
        <v>119</v>
      </c>
      <c r="E131" s="14" t="s">
        <v>62</v>
      </c>
      <c r="F131" s="15">
        <v>0</v>
      </c>
      <c r="G131" s="15">
        <v>0</v>
      </c>
      <c r="H131" s="15">
        <f t="shared" si="3"/>
        <v>0</v>
      </c>
      <c r="I131" s="15">
        <f t="shared" si="4"/>
        <v>0</v>
      </c>
      <c r="J131" s="16">
        <f t="shared" si="5"/>
        <v>0</v>
      </c>
      <c r="K131" s="17">
        <v>27.9</v>
      </c>
      <c r="L131" s="18">
        <v>0.34399999999999997</v>
      </c>
      <c r="M131" s="16">
        <v>0.96299999999999997</v>
      </c>
      <c r="N131" s="14" t="str">
        <f>IF(G131&gt;='Resumen Ejecutivo'!$C$8, "CRÍTICA", IF(G131&gt;='Resumen Ejecutivo'!$C$7, "TEMPRANA", "NORMAL"))</f>
        <v>NORMAL</v>
      </c>
    </row>
    <row r="132" spans="2:14" x14ac:dyDescent="0.25">
      <c r="B132" s="19">
        <v>128</v>
      </c>
      <c r="C132" s="19" t="s">
        <v>118</v>
      </c>
      <c r="D132" s="19" t="s">
        <v>119</v>
      </c>
      <c r="E132" s="19" t="s">
        <v>63</v>
      </c>
      <c r="F132" s="20">
        <v>1</v>
      </c>
      <c r="G132" s="20">
        <v>1</v>
      </c>
      <c r="H132" s="20">
        <f t="shared" si="3"/>
        <v>0</v>
      </c>
      <c r="I132" s="20">
        <f t="shared" si="4"/>
        <v>0</v>
      </c>
      <c r="J132" s="21">
        <f t="shared" si="5"/>
        <v>0</v>
      </c>
      <c r="K132" s="22">
        <v>27</v>
      </c>
      <c r="L132" s="23">
        <v>0.34</v>
      </c>
      <c r="M132" s="21">
        <v>0.95599999999999996</v>
      </c>
      <c r="N132" s="19" t="str">
        <f>IF(G132&gt;='Resumen Ejecutivo'!$C$8, "CRÍTICA", IF(G132&gt;='Resumen Ejecutivo'!$C$7, "TEMPRANA", "NORMAL"))</f>
        <v>NORMAL</v>
      </c>
    </row>
    <row r="133" spans="2:14" x14ac:dyDescent="0.25">
      <c r="B133" s="14">
        <v>129</v>
      </c>
      <c r="C133" s="14" t="s">
        <v>118</v>
      </c>
      <c r="D133" s="14" t="s">
        <v>119</v>
      </c>
      <c r="E133" s="14" t="s">
        <v>64</v>
      </c>
      <c r="F133" s="15">
        <v>0</v>
      </c>
      <c r="G133" s="15">
        <v>0</v>
      </c>
      <c r="H133" s="15">
        <f t="shared" ref="H133:H196" si="6">ABS(G133-F133)</f>
        <v>0</v>
      </c>
      <c r="I133" s="15">
        <f t="shared" ref="I133:I196" si="7">(G133-F133)^2</f>
        <v>0</v>
      </c>
      <c r="J133" s="16">
        <f t="shared" ref="J133:J196" si="8">IFERROR(H133/F133,0)</f>
        <v>0</v>
      </c>
      <c r="K133" s="17">
        <v>27.7</v>
      </c>
      <c r="L133" s="18">
        <v>0.36799999999999999</v>
      </c>
      <c r="M133" s="16">
        <v>0.95899999999999996</v>
      </c>
      <c r="N133" s="14" t="str">
        <f>IF(G133&gt;='Resumen Ejecutivo'!$C$8, "CRÍTICA", IF(G133&gt;='Resumen Ejecutivo'!$C$7, "TEMPRANA", "NORMAL"))</f>
        <v>NORMAL</v>
      </c>
    </row>
    <row r="134" spans="2:14" x14ac:dyDescent="0.25">
      <c r="B134" s="19">
        <v>130</v>
      </c>
      <c r="C134" s="19" t="s">
        <v>118</v>
      </c>
      <c r="D134" s="19" t="s">
        <v>119</v>
      </c>
      <c r="E134" s="19" t="s">
        <v>65</v>
      </c>
      <c r="F134" s="20">
        <v>1</v>
      </c>
      <c r="G134" s="20">
        <v>2</v>
      </c>
      <c r="H134" s="20">
        <f t="shared" si="6"/>
        <v>1</v>
      </c>
      <c r="I134" s="20">
        <f t="shared" si="7"/>
        <v>1</v>
      </c>
      <c r="J134" s="21">
        <f t="shared" si="8"/>
        <v>1</v>
      </c>
      <c r="K134" s="22">
        <v>27.1</v>
      </c>
      <c r="L134" s="23">
        <v>0.35399999999999998</v>
      </c>
      <c r="M134" s="21">
        <v>0.98599999999999999</v>
      </c>
      <c r="N134" s="19" t="str">
        <f>IF(G134&gt;='Resumen Ejecutivo'!$C$8, "CRÍTICA", IF(G134&gt;='Resumen Ejecutivo'!$C$7, "TEMPRANA", "NORMAL"))</f>
        <v>NORMAL</v>
      </c>
    </row>
    <row r="135" spans="2:14" x14ac:dyDescent="0.25">
      <c r="B135" s="14">
        <v>131</v>
      </c>
      <c r="C135" s="14" t="s">
        <v>118</v>
      </c>
      <c r="D135" s="14" t="s">
        <v>119</v>
      </c>
      <c r="E135" s="14" t="s">
        <v>66</v>
      </c>
      <c r="F135" s="15">
        <v>3</v>
      </c>
      <c r="G135" s="15">
        <v>3</v>
      </c>
      <c r="H135" s="15">
        <f t="shared" si="6"/>
        <v>0</v>
      </c>
      <c r="I135" s="15">
        <f t="shared" si="7"/>
        <v>0</v>
      </c>
      <c r="J135" s="16">
        <f t="shared" si="8"/>
        <v>0</v>
      </c>
      <c r="K135" s="17">
        <v>28.4</v>
      </c>
      <c r="L135" s="18">
        <v>0.35599999999999998</v>
      </c>
      <c r="M135" s="16">
        <v>0.96399999999999997</v>
      </c>
      <c r="N135" s="14" t="str">
        <f>IF(G135&gt;='Resumen Ejecutivo'!$C$8, "CRÍTICA", IF(G135&gt;='Resumen Ejecutivo'!$C$7, "TEMPRANA", "NORMAL"))</f>
        <v>NORMAL</v>
      </c>
    </row>
    <row r="136" spans="2:14" x14ac:dyDescent="0.25">
      <c r="B136" s="19">
        <v>132</v>
      </c>
      <c r="C136" s="19" t="s">
        <v>118</v>
      </c>
      <c r="D136" s="19" t="s">
        <v>119</v>
      </c>
      <c r="E136" s="19" t="s">
        <v>67</v>
      </c>
      <c r="F136" s="20">
        <v>0</v>
      </c>
      <c r="G136" s="20">
        <v>0</v>
      </c>
      <c r="H136" s="20">
        <f t="shared" si="6"/>
        <v>0</v>
      </c>
      <c r="I136" s="20">
        <f t="shared" si="7"/>
        <v>0</v>
      </c>
      <c r="J136" s="21">
        <f t="shared" si="8"/>
        <v>0</v>
      </c>
      <c r="K136" s="22">
        <v>27</v>
      </c>
      <c r="L136" s="23">
        <v>0.34</v>
      </c>
      <c r="M136" s="21">
        <v>0.96099999999999997</v>
      </c>
      <c r="N136" s="19" t="str">
        <f>IF(G136&gt;='Resumen Ejecutivo'!$C$8, "CRÍTICA", IF(G136&gt;='Resumen Ejecutivo'!$C$7, "TEMPRANA", "NORMAL"))</f>
        <v>NORMAL</v>
      </c>
    </row>
    <row r="137" spans="2:14" x14ac:dyDescent="0.25">
      <c r="B137" s="14">
        <v>133</v>
      </c>
      <c r="C137" s="14" t="s">
        <v>118</v>
      </c>
      <c r="D137" s="14" t="s">
        <v>119</v>
      </c>
      <c r="E137" s="14" t="s">
        <v>68</v>
      </c>
      <c r="F137" s="15">
        <v>2</v>
      </c>
      <c r="G137" s="15">
        <v>2</v>
      </c>
      <c r="H137" s="15">
        <f t="shared" si="6"/>
        <v>0</v>
      </c>
      <c r="I137" s="15">
        <f t="shared" si="7"/>
        <v>0</v>
      </c>
      <c r="J137" s="16">
        <f t="shared" si="8"/>
        <v>0</v>
      </c>
      <c r="K137" s="17">
        <v>27.1</v>
      </c>
      <c r="L137" s="18">
        <v>0.33100000000000002</v>
      </c>
      <c r="M137" s="16">
        <v>0.97699999999999998</v>
      </c>
      <c r="N137" s="14" t="str">
        <f>IF(G137&gt;='Resumen Ejecutivo'!$C$8, "CRÍTICA", IF(G137&gt;='Resumen Ejecutivo'!$C$7, "TEMPRANA", "NORMAL"))</f>
        <v>NORMAL</v>
      </c>
    </row>
    <row r="138" spans="2:14" x14ac:dyDescent="0.25">
      <c r="B138" s="19">
        <v>134</v>
      </c>
      <c r="C138" s="19" t="s">
        <v>118</v>
      </c>
      <c r="D138" s="19" t="s">
        <v>119</v>
      </c>
      <c r="E138" s="19" t="s">
        <v>69</v>
      </c>
      <c r="F138" s="20">
        <v>1</v>
      </c>
      <c r="G138" s="20">
        <v>1</v>
      </c>
      <c r="H138" s="20">
        <f t="shared" si="6"/>
        <v>0</v>
      </c>
      <c r="I138" s="20">
        <f t="shared" si="7"/>
        <v>0</v>
      </c>
      <c r="J138" s="21">
        <f t="shared" si="8"/>
        <v>0</v>
      </c>
      <c r="K138" s="22">
        <v>27.2</v>
      </c>
      <c r="L138" s="23">
        <v>0.379</v>
      </c>
      <c r="M138" s="21">
        <v>0.97799999999999998</v>
      </c>
      <c r="N138" s="19" t="str">
        <f>IF(G138&gt;='Resumen Ejecutivo'!$C$8, "CRÍTICA", IF(G138&gt;='Resumen Ejecutivo'!$C$7, "TEMPRANA", "NORMAL"))</f>
        <v>NORMAL</v>
      </c>
    </row>
    <row r="139" spans="2:14" x14ac:dyDescent="0.25">
      <c r="B139" s="14">
        <v>135</v>
      </c>
      <c r="C139" s="14" t="s">
        <v>118</v>
      </c>
      <c r="D139" s="14" t="s">
        <v>119</v>
      </c>
      <c r="E139" s="14" t="s">
        <v>70</v>
      </c>
      <c r="F139" s="15">
        <v>0</v>
      </c>
      <c r="G139" s="15">
        <v>0</v>
      </c>
      <c r="H139" s="15">
        <f t="shared" si="6"/>
        <v>0</v>
      </c>
      <c r="I139" s="15">
        <f t="shared" si="7"/>
        <v>0</v>
      </c>
      <c r="J139" s="16">
        <f t="shared" si="8"/>
        <v>0</v>
      </c>
      <c r="K139" s="17">
        <v>27.9</v>
      </c>
      <c r="L139" s="18">
        <v>0.33600000000000002</v>
      </c>
      <c r="M139" s="16">
        <v>0.99299999999999999</v>
      </c>
      <c r="N139" s="14" t="str">
        <f>IF(G139&gt;='Resumen Ejecutivo'!$C$8, "CRÍTICA", IF(G139&gt;='Resumen Ejecutivo'!$C$7, "TEMPRANA", "NORMAL"))</f>
        <v>NORMAL</v>
      </c>
    </row>
    <row r="140" spans="2:14" x14ac:dyDescent="0.25">
      <c r="B140" s="19">
        <v>136</v>
      </c>
      <c r="C140" s="19" t="s">
        <v>118</v>
      </c>
      <c r="D140" s="19" t="s">
        <v>119</v>
      </c>
      <c r="E140" s="19" t="s">
        <v>71</v>
      </c>
      <c r="F140" s="20">
        <v>2</v>
      </c>
      <c r="G140" s="20">
        <v>2</v>
      </c>
      <c r="H140" s="20">
        <f t="shared" si="6"/>
        <v>0</v>
      </c>
      <c r="I140" s="20">
        <f t="shared" si="7"/>
        <v>0</v>
      </c>
      <c r="J140" s="21">
        <f t="shared" si="8"/>
        <v>0</v>
      </c>
      <c r="K140" s="22">
        <v>27.6</v>
      </c>
      <c r="L140" s="23">
        <v>0.374</v>
      </c>
      <c r="M140" s="21">
        <v>0.97899999999999998</v>
      </c>
      <c r="N140" s="19" t="str">
        <f>IF(G140&gt;='Resumen Ejecutivo'!$C$8, "CRÍTICA", IF(G140&gt;='Resumen Ejecutivo'!$C$7, "TEMPRANA", "NORMAL"))</f>
        <v>NORMAL</v>
      </c>
    </row>
    <row r="141" spans="2:14" x14ac:dyDescent="0.25">
      <c r="B141" s="14">
        <v>137</v>
      </c>
      <c r="C141" s="14" t="s">
        <v>118</v>
      </c>
      <c r="D141" s="14" t="s">
        <v>119</v>
      </c>
      <c r="E141" s="14" t="s">
        <v>72</v>
      </c>
      <c r="F141" s="15">
        <v>5</v>
      </c>
      <c r="G141" s="15">
        <v>5</v>
      </c>
      <c r="H141" s="15">
        <f t="shared" si="6"/>
        <v>0</v>
      </c>
      <c r="I141" s="15">
        <f t="shared" si="7"/>
        <v>0</v>
      </c>
      <c r="J141" s="16">
        <f t="shared" si="8"/>
        <v>0</v>
      </c>
      <c r="K141" s="17">
        <v>27.6</v>
      </c>
      <c r="L141" s="18">
        <v>0.35199999999999998</v>
      </c>
      <c r="M141" s="16">
        <v>0.95899999999999996</v>
      </c>
      <c r="N141" s="14" t="str">
        <f>IF(G141&gt;='Resumen Ejecutivo'!$C$8, "CRÍTICA", IF(G141&gt;='Resumen Ejecutivo'!$C$7, "TEMPRANA", "NORMAL"))</f>
        <v>NORMAL</v>
      </c>
    </row>
    <row r="142" spans="2:14" x14ac:dyDescent="0.25">
      <c r="B142" s="19">
        <v>138</v>
      </c>
      <c r="C142" s="19" t="s">
        <v>118</v>
      </c>
      <c r="D142" s="19" t="s">
        <v>119</v>
      </c>
      <c r="E142" s="19" t="s">
        <v>73</v>
      </c>
      <c r="F142" s="20">
        <v>3</v>
      </c>
      <c r="G142" s="20">
        <v>3</v>
      </c>
      <c r="H142" s="20">
        <f t="shared" si="6"/>
        <v>0</v>
      </c>
      <c r="I142" s="20">
        <f t="shared" si="7"/>
        <v>0</v>
      </c>
      <c r="J142" s="21">
        <f t="shared" si="8"/>
        <v>0</v>
      </c>
      <c r="K142" s="22">
        <v>26.9</v>
      </c>
      <c r="L142" s="23">
        <v>0.377</v>
      </c>
      <c r="M142" s="21">
        <v>0.97399999999999998</v>
      </c>
      <c r="N142" s="19" t="str">
        <f>IF(G142&gt;='Resumen Ejecutivo'!$C$8, "CRÍTICA", IF(G142&gt;='Resumen Ejecutivo'!$C$7, "TEMPRANA", "NORMAL"))</f>
        <v>NORMAL</v>
      </c>
    </row>
    <row r="143" spans="2:14" x14ac:dyDescent="0.25">
      <c r="B143" s="14">
        <v>139</v>
      </c>
      <c r="C143" s="14" t="s">
        <v>118</v>
      </c>
      <c r="D143" s="14" t="s">
        <v>119</v>
      </c>
      <c r="E143" s="14" t="s">
        <v>74</v>
      </c>
      <c r="F143" s="15">
        <v>3</v>
      </c>
      <c r="G143" s="15">
        <v>3</v>
      </c>
      <c r="H143" s="15">
        <f t="shared" si="6"/>
        <v>0</v>
      </c>
      <c r="I143" s="15">
        <f t="shared" si="7"/>
        <v>0</v>
      </c>
      <c r="J143" s="16">
        <f t="shared" si="8"/>
        <v>0</v>
      </c>
      <c r="K143" s="17">
        <v>28.1</v>
      </c>
      <c r="L143" s="18">
        <v>0.35</v>
      </c>
      <c r="M143" s="16">
        <v>0.95399999999999996</v>
      </c>
      <c r="N143" s="14" t="str">
        <f>IF(G143&gt;='Resumen Ejecutivo'!$C$8, "CRÍTICA", IF(G143&gt;='Resumen Ejecutivo'!$C$7, "TEMPRANA", "NORMAL"))</f>
        <v>NORMAL</v>
      </c>
    </row>
    <row r="144" spans="2:14" x14ac:dyDescent="0.25">
      <c r="B144" s="19">
        <v>140</v>
      </c>
      <c r="C144" s="19" t="s">
        <v>118</v>
      </c>
      <c r="D144" s="19" t="s">
        <v>119</v>
      </c>
      <c r="E144" s="19" t="s">
        <v>75</v>
      </c>
      <c r="F144" s="20">
        <v>4</v>
      </c>
      <c r="G144" s="20">
        <v>4</v>
      </c>
      <c r="H144" s="20">
        <f t="shared" si="6"/>
        <v>0</v>
      </c>
      <c r="I144" s="20">
        <f t="shared" si="7"/>
        <v>0</v>
      </c>
      <c r="J144" s="21">
        <f t="shared" si="8"/>
        <v>0</v>
      </c>
      <c r="K144" s="22">
        <v>27.8</v>
      </c>
      <c r="L144" s="23">
        <v>0.33300000000000002</v>
      </c>
      <c r="M144" s="21">
        <v>0.95699999999999996</v>
      </c>
      <c r="N144" s="19" t="str">
        <f>IF(G144&gt;='Resumen Ejecutivo'!$C$8, "CRÍTICA", IF(G144&gt;='Resumen Ejecutivo'!$C$7, "TEMPRANA", "NORMAL"))</f>
        <v>NORMAL</v>
      </c>
    </row>
    <row r="145" spans="2:14" x14ac:dyDescent="0.25">
      <c r="B145" s="14">
        <v>141</v>
      </c>
      <c r="C145" s="14" t="s">
        <v>118</v>
      </c>
      <c r="D145" s="14" t="s">
        <v>119</v>
      </c>
      <c r="E145" s="14" t="s">
        <v>76</v>
      </c>
      <c r="F145" s="15">
        <v>2</v>
      </c>
      <c r="G145" s="15">
        <v>2</v>
      </c>
      <c r="H145" s="15">
        <f t="shared" si="6"/>
        <v>0</v>
      </c>
      <c r="I145" s="15">
        <f t="shared" si="7"/>
        <v>0</v>
      </c>
      <c r="J145" s="16">
        <f t="shared" si="8"/>
        <v>0</v>
      </c>
      <c r="K145" s="17">
        <v>27.7</v>
      </c>
      <c r="L145" s="18">
        <v>0.34499999999999997</v>
      </c>
      <c r="M145" s="16">
        <v>1</v>
      </c>
      <c r="N145" s="14" t="str">
        <f>IF(G145&gt;='Resumen Ejecutivo'!$C$8, "CRÍTICA", IF(G145&gt;='Resumen Ejecutivo'!$C$7, "TEMPRANA", "NORMAL"))</f>
        <v>NORMAL</v>
      </c>
    </row>
    <row r="146" spans="2:14" x14ac:dyDescent="0.25">
      <c r="B146" s="19">
        <v>142</v>
      </c>
      <c r="C146" s="19" t="s">
        <v>118</v>
      </c>
      <c r="D146" s="19" t="s">
        <v>119</v>
      </c>
      <c r="E146" s="19" t="s">
        <v>77</v>
      </c>
      <c r="F146" s="20">
        <v>3</v>
      </c>
      <c r="G146" s="20">
        <v>3</v>
      </c>
      <c r="H146" s="20">
        <f t="shared" si="6"/>
        <v>0</v>
      </c>
      <c r="I146" s="20">
        <f t="shared" si="7"/>
        <v>0</v>
      </c>
      <c r="J146" s="21">
        <f t="shared" si="8"/>
        <v>0</v>
      </c>
      <c r="K146" s="22">
        <v>27</v>
      </c>
      <c r="L146" s="23">
        <v>0.36799999999999999</v>
      </c>
      <c r="M146" s="21">
        <v>0.98</v>
      </c>
      <c r="N146" s="19" t="str">
        <f>IF(G146&gt;='Resumen Ejecutivo'!$C$8, "CRÍTICA", IF(G146&gt;='Resumen Ejecutivo'!$C$7, "TEMPRANA", "NORMAL"))</f>
        <v>NORMAL</v>
      </c>
    </row>
    <row r="147" spans="2:14" x14ac:dyDescent="0.25">
      <c r="B147" s="14">
        <v>143</v>
      </c>
      <c r="C147" s="14" t="s">
        <v>118</v>
      </c>
      <c r="D147" s="14" t="s">
        <v>119</v>
      </c>
      <c r="E147" s="14" t="s">
        <v>78</v>
      </c>
      <c r="F147" s="15">
        <v>2</v>
      </c>
      <c r="G147" s="15">
        <v>2</v>
      </c>
      <c r="H147" s="15">
        <f t="shared" si="6"/>
        <v>0</v>
      </c>
      <c r="I147" s="15">
        <f t="shared" si="7"/>
        <v>0</v>
      </c>
      <c r="J147" s="16">
        <f t="shared" si="8"/>
        <v>0</v>
      </c>
      <c r="K147" s="17">
        <v>28.1</v>
      </c>
      <c r="L147" s="18">
        <v>0.34100000000000003</v>
      </c>
      <c r="M147" s="16">
        <v>0.97599999999999998</v>
      </c>
      <c r="N147" s="14" t="str">
        <f>IF(G147&gt;='Resumen Ejecutivo'!$C$8, "CRÍTICA", IF(G147&gt;='Resumen Ejecutivo'!$C$7, "TEMPRANA", "NORMAL"))</f>
        <v>NORMAL</v>
      </c>
    </row>
    <row r="148" spans="2:14" x14ac:dyDescent="0.25">
      <c r="B148" s="19">
        <v>144</v>
      </c>
      <c r="C148" s="19" t="s">
        <v>118</v>
      </c>
      <c r="D148" s="19" t="s">
        <v>119</v>
      </c>
      <c r="E148" s="19" t="s">
        <v>79</v>
      </c>
      <c r="F148" s="20">
        <v>1</v>
      </c>
      <c r="G148" s="20">
        <v>1</v>
      </c>
      <c r="H148" s="20">
        <f t="shared" si="6"/>
        <v>0</v>
      </c>
      <c r="I148" s="20">
        <f t="shared" si="7"/>
        <v>0</v>
      </c>
      <c r="J148" s="21">
        <f t="shared" si="8"/>
        <v>0</v>
      </c>
      <c r="K148" s="22">
        <v>27.5</v>
      </c>
      <c r="L148" s="23">
        <v>0.35199999999999998</v>
      </c>
      <c r="M148" s="21">
        <v>0.99299999999999999</v>
      </c>
      <c r="N148" s="19" t="str">
        <f>IF(G148&gt;='Resumen Ejecutivo'!$C$8, "CRÍTICA", IF(G148&gt;='Resumen Ejecutivo'!$C$7, "TEMPRANA", "NORMAL"))</f>
        <v>NORMAL</v>
      </c>
    </row>
    <row r="149" spans="2:14" x14ac:dyDescent="0.25">
      <c r="B149" s="14">
        <v>145</v>
      </c>
      <c r="C149" s="14" t="s">
        <v>118</v>
      </c>
      <c r="D149" s="14" t="s">
        <v>119</v>
      </c>
      <c r="E149" s="14" t="s">
        <v>80</v>
      </c>
      <c r="F149" s="15">
        <v>6</v>
      </c>
      <c r="G149" s="15">
        <v>6</v>
      </c>
      <c r="H149" s="15">
        <f t="shared" si="6"/>
        <v>0</v>
      </c>
      <c r="I149" s="15">
        <f t="shared" si="7"/>
        <v>0</v>
      </c>
      <c r="J149" s="16">
        <f t="shared" si="8"/>
        <v>0</v>
      </c>
      <c r="K149" s="17">
        <v>28.4</v>
      </c>
      <c r="L149" s="18">
        <v>0.34499999999999997</v>
      </c>
      <c r="M149" s="16">
        <v>0.98099999999999998</v>
      </c>
      <c r="N149" s="14" t="str">
        <f>IF(G149&gt;='Resumen Ejecutivo'!$C$8, "CRÍTICA", IF(G149&gt;='Resumen Ejecutivo'!$C$7, "TEMPRANA", "NORMAL"))</f>
        <v>NORMAL</v>
      </c>
    </row>
    <row r="150" spans="2:14" x14ac:dyDescent="0.25">
      <c r="B150" s="19">
        <v>146</v>
      </c>
      <c r="C150" s="19" t="s">
        <v>118</v>
      </c>
      <c r="D150" s="19" t="s">
        <v>119</v>
      </c>
      <c r="E150" s="19" t="s">
        <v>81</v>
      </c>
      <c r="F150" s="20">
        <v>3</v>
      </c>
      <c r="G150" s="20">
        <v>3</v>
      </c>
      <c r="H150" s="20">
        <f t="shared" si="6"/>
        <v>0</v>
      </c>
      <c r="I150" s="20">
        <f t="shared" si="7"/>
        <v>0</v>
      </c>
      <c r="J150" s="21">
        <f t="shared" si="8"/>
        <v>0</v>
      </c>
      <c r="K150" s="22">
        <v>27.8</v>
      </c>
      <c r="L150" s="23">
        <v>0.36699999999999999</v>
      </c>
      <c r="M150" s="21">
        <v>0.997</v>
      </c>
      <c r="N150" s="19" t="str">
        <f>IF(G150&gt;='Resumen Ejecutivo'!$C$8, "CRÍTICA", IF(G150&gt;='Resumen Ejecutivo'!$C$7, "TEMPRANA", "NORMAL"))</f>
        <v>NORMAL</v>
      </c>
    </row>
    <row r="151" spans="2:14" x14ac:dyDescent="0.25">
      <c r="B151" s="14">
        <v>147</v>
      </c>
      <c r="C151" s="14" t="s">
        <v>118</v>
      </c>
      <c r="D151" s="14" t="s">
        <v>119</v>
      </c>
      <c r="E151" s="14" t="s">
        <v>82</v>
      </c>
      <c r="F151" s="15">
        <v>6</v>
      </c>
      <c r="G151" s="15">
        <v>5</v>
      </c>
      <c r="H151" s="15">
        <f t="shared" si="6"/>
        <v>1</v>
      </c>
      <c r="I151" s="15">
        <f t="shared" si="7"/>
        <v>1</v>
      </c>
      <c r="J151" s="16">
        <f t="shared" si="8"/>
        <v>0.16666666666666666</v>
      </c>
      <c r="K151" s="17">
        <v>27.1</v>
      </c>
      <c r="L151" s="18">
        <v>0.34100000000000003</v>
      </c>
      <c r="M151" s="16">
        <v>0.98299999999999998</v>
      </c>
      <c r="N151" s="14" t="str">
        <f>IF(G151&gt;='Resumen Ejecutivo'!$C$8, "CRÍTICA", IF(G151&gt;='Resumen Ejecutivo'!$C$7, "TEMPRANA", "NORMAL"))</f>
        <v>NORMAL</v>
      </c>
    </row>
    <row r="152" spans="2:14" x14ac:dyDescent="0.25">
      <c r="B152" s="19">
        <v>148</v>
      </c>
      <c r="C152" s="19" t="s">
        <v>118</v>
      </c>
      <c r="D152" s="19" t="s">
        <v>119</v>
      </c>
      <c r="E152" s="19" t="s">
        <v>83</v>
      </c>
      <c r="F152" s="20">
        <v>3</v>
      </c>
      <c r="G152" s="20">
        <v>3</v>
      </c>
      <c r="H152" s="20">
        <f t="shared" si="6"/>
        <v>0</v>
      </c>
      <c r="I152" s="20">
        <f t="shared" si="7"/>
        <v>0</v>
      </c>
      <c r="J152" s="21">
        <f t="shared" si="8"/>
        <v>0</v>
      </c>
      <c r="K152" s="22">
        <v>27.1</v>
      </c>
      <c r="L152" s="23">
        <v>0.33900000000000002</v>
      </c>
      <c r="M152" s="21">
        <v>0.95399999999999996</v>
      </c>
      <c r="N152" s="19" t="str">
        <f>IF(G152&gt;='Resumen Ejecutivo'!$C$8, "CRÍTICA", IF(G152&gt;='Resumen Ejecutivo'!$C$7, "TEMPRANA", "NORMAL"))</f>
        <v>NORMAL</v>
      </c>
    </row>
    <row r="153" spans="2:14" x14ac:dyDescent="0.25">
      <c r="B153" s="14">
        <v>149</v>
      </c>
      <c r="C153" s="14" t="s">
        <v>118</v>
      </c>
      <c r="D153" s="14" t="s">
        <v>119</v>
      </c>
      <c r="E153" s="14" t="s">
        <v>84</v>
      </c>
      <c r="F153" s="15">
        <v>3</v>
      </c>
      <c r="G153" s="15">
        <v>3</v>
      </c>
      <c r="H153" s="15">
        <f t="shared" si="6"/>
        <v>0</v>
      </c>
      <c r="I153" s="15">
        <f t="shared" si="7"/>
        <v>0</v>
      </c>
      <c r="J153" s="16">
        <f t="shared" si="8"/>
        <v>0</v>
      </c>
      <c r="K153" s="17">
        <v>26.8</v>
      </c>
      <c r="L153" s="18">
        <v>0.35299999999999998</v>
      </c>
      <c r="M153" s="16">
        <v>0.98</v>
      </c>
      <c r="N153" s="14" t="str">
        <f>IF(G153&gt;='Resumen Ejecutivo'!$C$8, "CRÍTICA", IF(G153&gt;='Resumen Ejecutivo'!$C$7, "TEMPRANA", "NORMAL"))</f>
        <v>NORMAL</v>
      </c>
    </row>
    <row r="154" spans="2:14" x14ac:dyDescent="0.25">
      <c r="B154" s="19">
        <v>150</v>
      </c>
      <c r="C154" s="19" t="s">
        <v>118</v>
      </c>
      <c r="D154" s="19" t="s">
        <v>119</v>
      </c>
      <c r="E154" s="19" t="s">
        <v>85</v>
      </c>
      <c r="F154" s="20">
        <v>3</v>
      </c>
      <c r="G154" s="20">
        <v>3</v>
      </c>
      <c r="H154" s="20">
        <f t="shared" si="6"/>
        <v>0</v>
      </c>
      <c r="I154" s="20">
        <f t="shared" si="7"/>
        <v>0</v>
      </c>
      <c r="J154" s="21">
        <f t="shared" si="8"/>
        <v>0</v>
      </c>
      <c r="K154" s="22">
        <v>27.3</v>
      </c>
      <c r="L154" s="23">
        <v>0.34200000000000003</v>
      </c>
      <c r="M154" s="21">
        <v>0.98499999999999999</v>
      </c>
      <c r="N154" s="19" t="str">
        <f>IF(G154&gt;='Resumen Ejecutivo'!$C$8, "CRÍTICA", IF(G154&gt;='Resumen Ejecutivo'!$C$7, "TEMPRANA", "NORMAL"))</f>
        <v>NORMAL</v>
      </c>
    </row>
    <row r="155" spans="2:14" x14ac:dyDescent="0.25">
      <c r="B155" s="14">
        <v>151</v>
      </c>
      <c r="C155" s="14" t="s">
        <v>118</v>
      </c>
      <c r="D155" s="14" t="s">
        <v>119</v>
      </c>
      <c r="E155" s="14" t="s">
        <v>86</v>
      </c>
      <c r="F155" s="15">
        <v>5</v>
      </c>
      <c r="G155" s="15">
        <v>5</v>
      </c>
      <c r="H155" s="15">
        <f t="shared" si="6"/>
        <v>0</v>
      </c>
      <c r="I155" s="15">
        <f t="shared" si="7"/>
        <v>0</v>
      </c>
      <c r="J155" s="16">
        <f t="shared" si="8"/>
        <v>0</v>
      </c>
      <c r="K155" s="17">
        <v>27.9</v>
      </c>
      <c r="L155" s="18">
        <v>0.35299999999999998</v>
      </c>
      <c r="M155" s="16">
        <v>0.98399999999999999</v>
      </c>
      <c r="N155" s="14" t="str">
        <f>IF(G155&gt;='Resumen Ejecutivo'!$C$8, "CRÍTICA", IF(G155&gt;='Resumen Ejecutivo'!$C$7, "TEMPRANA", "NORMAL"))</f>
        <v>NORMAL</v>
      </c>
    </row>
    <row r="156" spans="2:14" x14ac:dyDescent="0.25">
      <c r="B156" s="19">
        <v>152</v>
      </c>
      <c r="C156" s="19" t="s">
        <v>118</v>
      </c>
      <c r="D156" s="19" t="s">
        <v>119</v>
      </c>
      <c r="E156" s="19" t="s">
        <v>87</v>
      </c>
      <c r="F156" s="20">
        <v>6</v>
      </c>
      <c r="G156" s="20">
        <v>6</v>
      </c>
      <c r="H156" s="20">
        <f t="shared" si="6"/>
        <v>0</v>
      </c>
      <c r="I156" s="20">
        <f t="shared" si="7"/>
        <v>0</v>
      </c>
      <c r="J156" s="21">
        <f t="shared" si="8"/>
        <v>0</v>
      </c>
      <c r="K156" s="22">
        <v>28.3</v>
      </c>
      <c r="L156" s="23">
        <v>0.36899999999999999</v>
      </c>
      <c r="M156" s="21">
        <v>0.98099999999999998</v>
      </c>
      <c r="N156" s="19" t="str">
        <f>IF(G156&gt;='Resumen Ejecutivo'!$C$8, "CRÍTICA", IF(G156&gt;='Resumen Ejecutivo'!$C$7, "TEMPRANA", "NORMAL"))</f>
        <v>NORMAL</v>
      </c>
    </row>
    <row r="157" spans="2:14" x14ac:dyDescent="0.25">
      <c r="B157" s="14">
        <v>153</v>
      </c>
      <c r="C157" s="14" t="s">
        <v>118</v>
      </c>
      <c r="D157" s="14" t="s">
        <v>119</v>
      </c>
      <c r="E157" s="14" t="s">
        <v>88</v>
      </c>
      <c r="F157" s="15">
        <v>5</v>
      </c>
      <c r="G157" s="15">
        <v>5</v>
      </c>
      <c r="H157" s="15">
        <f t="shared" si="6"/>
        <v>0</v>
      </c>
      <c r="I157" s="15">
        <f t="shared" si="7"/>
        <v>0</v>
      </c>
      <c r="J157" s="16">
        <f t="shared" si="8"/>
        <v>0</v>
      </c>
      <c r="K157" s="17">
        <v>27.9</v>
      </c>
      <c r="L157" s="18">
        <v>0.377</v>
      </c>
      <c r="M157" s="16">
        <v>0.97099999999999997</v>
      </c>
      <c r="N157" s="14" t="str">
        <f>IF(G157&gt;='Resumen Ejecutivo'!$C$8, "CRÍTICA", IF(G157&gt;='Resumen Ejecutivo'!$C$7, "TEMPRANA", "NORMAL"))</f>
        <v>NORMAL</v>
      </c>
    </row>
    <row r="158" spans="2:14" x14ac:dyDescent="0.25">
      <c r="B158" s="19">
        <v>154</v>
      </c>
      <c r="C158" s="19" t="s">
        <v>118</v>
      </c>
      <c r="D158" s="19" t="s">
        <v>119</v>
      </c>
      <c r="E158" s="19" t="s">
        <v>89</v>
      </c>
      <c r="F158" s="20">
        <v>3</v>
      </c>
      <c r="G158" s="20">
        <v>4</v>
      </c>
      <c r="H158" s="20">
        <f t="shared" si="6"/>
        <v>1</v>
      </c>
      <c r="I158" s="20">
        <f t="shared" si="7"/>
        <v>1</v>
      </c>
      <c r="J158" s="21">
        <f t="shared" si="8"/>
        <v>0.33333333333333331</v>
      </c>
      <c r="K158" s="22">
        <v>27.7</v>
      </c>
      <c r="L158" s="23">
        <v>0.36199999999999999</v>
      </c>
      <c r="M158" s="21">
        <v>0.995</v>
      </c>
      <c r="N158" s="19" t="str">
        <f>IF(G158&gt;='Resumen Ejecutivo'!$C$8, "CRÍTICA", IF(G158&gt;='Resumen Ejecutivo'!$C$7, "TEMPRANA", "NORMAL"))</f>
        <v>NORMAL</v>
      </c>
    </row>
    <row r="159" spans="2:14" x14ac:dyDescent="0.25">
      <c r="B159" s="14">
        <v>155</v>
      </c>
      <c r="C159" s="14" t="s">
        <v>118</v>
      </c>
      <c r="D159" s="14" t="s">
        <v>119</v>
      </c>
      <c r="E159" s="14" t="s">
        <v>90</v>
      </c>
      <c r="F159" s="15">
        <v>6</v>
      </c>
      <c r="G159" s="15">
        <v>6</v>
      </c>
      <c r="H159" s="15">
        <f t="shared" si="6"/>
        <v>0</v>
      </c>
      <c r="I159" s="15">
        <f t="shared" si="7"/>
        <v>0</v>
      </c>
      <c r="J159" s="16">
        <f t="shared" si="8"/>
        <v>0</v>
      </c>
      <c r="K159" s="17">
        <v>28.1</v>
      </c>
      <c r="L159" s="18">
        <v>0.33400000000000002</v>
      </c>
      <c r="M159" s="16">
        <v>0.95799999999999996</v>
      </c>
      <c r="N159" s="14" t="str">
        <f>IF(G159&gt;='Resumen Ejecutivo'!$C$8, "CRÍTICA", IF(G159&gt;='Resumen Ejecutivo'!$C$7, "TEMPRANA", "NORMAL"))</f>
        <v>NORMAL</v>
      </c>
    </row>
    <row r="160" spans="2:14" x14ac:dyDescent="0.25">
      <c r="B160" s="19">
        <v>156</v>
      </c>
      <c r="C160" s="19" t="s">
        <v>118</v>
      </c>
      <c r="D160" s="19" t="s">
        <v>119</v>
      </c>
      <c r="E160" s="19" t="s">
        <v>91</v>
      </c>
      <c r="F160" s="20">
        <v>8</v>
      </c>
      <c r="G160" s="20">
        <v>8</v>
      </c>
      <c r="H160" s="20">
        <f t="shared" si="6"/>
        <v>0</v>
      </c>
      <c r="I160" s="20">
        <f t="shared" si="7"/>
        <v>0</v>
      </c>
      <c r="J160" s="21">
        <f t="shared" si="8"/>
        <v>0</v>
      </c>
      <c r="K160" s="22">
        <v>27.3</v>
      </c>
      <c r="L160" s="23">
        <v>0.36699999999999999</v>
      </c>
      <c r="M160" s="21">
        <v>0.97799999999999998</v>
      </c>
      <c r="N160" s="19" t="str">
        <f>IF(G160&gt;='Resumen Ejecutivo'!$C$8, "CRÍTICA", IF(G160&gt;='Resumen Ejecutivo'!$C$7, "TEMPRANA", "NORMAL"))</f>
        <v>NORMAL</v>
      </c>
    </row>
    <row r="161" spans="2:14" x14ac:dyDescent="0.25">
      <c r="B161" s="14">
        <v>157</v>
      </c>
      <c r="C161" s="14" t="s">
        <v>118</v>
      </c>
      <c r="D161" s="14" t="s">
        <v>119</v>
      </c>
      <c r="E161" s="14" t="s">
        <v>92</v>
      </c>
      <c r="F161" s="15">
        <v>8</v>
      </c>
      <c r="G161" s="15">
        <v>8</v>
      </c>
      <c r="H161" s="15">
        <f t="shared" si="6"/>
        <v>0</v>
      </c>
      <c r="I161" s="15">
        <f t="shared" si="7"/>
        <v>0</v>
      </c>
      <c r="J161" s="16">
        <f t="shared" si="8"/>
        <v>0</v>
      </c>
      <c r="K161" s="17">
        <v>27.3</v>
      </c>
      <c r="L161" s="18">
        <v>0.33600000000000002</v>
      </c>
      <c r="M161" s="16">
        <v>0.98399999999999999</v>
      </c>
      <c r="N161" s="14" t="str">
        <f>IF(G161&gt;='Resumen Ejecutivo'!$C$8, "CRÍTICA", IF(G161&gt;='Resumen Ejecutivo'!$C$7, "TEMPRANA", "NORMAL"))</f>
        <v>NORMAL</v>
      </c>
    </row>
    <row r="162" spans="2:14" x14ac:dyDescent="0.25">
      <c r="B162" s="19">
        <v>158</v>
      </c>
      <c r="C162" s="19" t="s">
        <v>118</v>
      </c>
      <c r="D162" s="19" t="s">
        <v>119</v>
      </c>
      <c r="E162" s="19" t="s">
        <v>93</v>
      </c>
      <c r="F162" s="20">
        <v>7</v>
      </c>
      <c r="G162" s="20">
        <v>7</v>
      </c>
      <c r="H162" s="20">
        <f t="shared" si="6"/>
        <v>0</v>
      </c>
      <c r="I162" s="20">
        <f t="shared" si="7"/>
        <v>0</v>
      </c>
      <c r="J162" s="21">
        <f t="shared" si="8"/>
        <v>0</v>
      </c>
      <c r="K162" s="22">
        <v>27.9</v>
      </c>
      <c r="L162" s="23">
        <v>0.377</v>
      </c>
      <c r="M162" s="21">
        <v>0.97499999999999998</v>
      </c>
      <c r="N162" s="19" t="str">
        <f>IF(G162&gt;='Resumen Ejecutivo'!$C$8, "CRÍTICA", IF(G162&gt;='Resumen Ejecutivo'!$C$7, "TEMPRANA", "NORMAL"))</f>
        <v>NORMAL</v>
      </c>
    </row>
    <row r="163" spans="2:14" x14ac:dyDescent="0.25">
      <c r="B163" s="14">
        <v>159</v>
      </c>
      <c r="C163" s="14" t="s">
        <v>118</v>
      </c>
      <c r="D163" s="14" t="s">
        <v>119</v>
      </c>
      <c r="E163" s="14" t="s">
        <v>94</v>
      </c>
      <c r="F163" s="15">
        <v>7</v>
      </c>
      <c r="G163" s="15">
        <v>7</v>
      </c>
      <c r="H163" s="15">
        <f t="shared" si="6"/>
        <v>0</v>
      </c>
      <c r="I163" s="15">
        <f t="shared" si="7"/>
        <v>0</v>
      </c>
      <c r="J163" s="16">
        <f t="shared" si="8"/>
        <v>0</v>
      </c>
      <c r="K163" s="17">
        <v>27.6</v>
      </c>
      <c r="L163" s="18">
        <v>0.33400000000000002</v>
      </c>
      <c r="M163" s="16">
        <v>0.95199999999999996</v>
      </c>
      <c r="N163" s="14" t="str">
        <f>IF(G163&gt;='Resumen Ejecutivo'!$C$8, "CRÍTICA", IF(G163&gt;='Resumen Ejecutivo'!$C$7, "TEMPRANA", "NORMAL"))</f>
        <v>NORMAL</v>
      </c>
    </row>
    <row r="164" spans="2:14" x14ac:dyDescent="0.25">
      <c r="B164" s="19">
        <v>160</v>
      </c>
      <c r="C164" s="19" t="s">
        <v>118</v>
      </c>
      <c r="D164" s="19" t="s">
        <v>119</v>
      </c>
      <c r="E164" s="19" t="s">
        <v>95</v>
      </c>
      <c r="F164" s="20">
        <v>7</v>
      </c>
      <c r="G164" s="20">
        <v>7</v>
      </c>
      <c r="H164" s="20">
        <f t="shared" si="6"/>
        <v>0</v>
      </c>
      <c r="I164" s="20">
        <f t="shared" si="7"/>
        <v>0</v>
      </c>
      <c r="J164" s="21">
        <f t="shared" si="8"/>
        <v>0</v>
      </c>
      <c r="K164" s="22">
        <v>27.5</v>
      </c>
      <c r="L164" s="23">
        <v>0.34599999999999997</v>
      </c>
      <c r="M164" s="21">
        <v>0.96299999999999997</v>
      </c>
      <c r="N164" s="19" t="str">
        <f>IF(G164&gt;='Resumen Ejecutivo'!$C$8, "CRÍTICA", IF(G164&gt;='Resumen Ejecutivo'!$C$7, "TEMPRANA", "NORMAL"))</f>
        <v>NORMAL</v>
      </c>
    </row>
    <row r="165" spans="2:14" x14ac:dyDescent="0.25">
      <c r="B165" s="14">
        <v>161</v>
      </c>
      <c r="C165" s="14" t="s">
        <v>118</v>
      </c>
      <c r="D165" s="14" t="s">
        <v>119</v>
      </c>
      <c r="E165" s="14" t="s">
        <v>96</v>
      </c>
      <c r="F165" s="15">
        <v>8</v>
      </c>
      <c r="G165" s="15">
        <v>8</v>
      </c>
      <c r="H165" s="15">
        <f t="shared" si="6"/>
        <v>0</v>
      </c>
      <c r="I165" s="15">
        <f t="shared" si="7"/>
        <v>0</v>
      </c>
      <c r="J165" s="16">
        <f t="shared" si="8"/>
        <v>0</v>
      </c>
      <c r="K165" s="17">
        <v>26.9</v>
      </c>
      <c r="L165" s="18">
        <v>0.378</v>
      </c>
      <c r="M165" s="16">
        <v>0.99199999999999999</v>
      </c>
      <c r="N165" s="14" t="str">
        <f>IF(G165&gt;='Resumen Ejecutivo'!$C$8, "CRÍTICA", IF(G165&gt;='Resumen Ejecutivo'!$C$7, "TEMPRANA", "NORMAL"))</f>
        <v>NORMAL</v>
      </c>
    </row>
    <row r="166" spans="2:14" x14ac:dyDescent="0.25">
      <c r="B166" s="19">
        <v>162</v>
      </c>
      <c r="C166" s="19" t="s">
        <v>118</v>
      </c>
      <c r="D166" s="19" t="s">
        <v>119</v>
      </c>
      <c r="E166" s="19" t="s">
        <v>97</v>
      </c>
      <c r="F166" s="20">
        <v>6</v>
      </c>
      <c r="G166" s="20">
        <v>6</v>
      </c>
      <c r="H166" s="20">
        <f t="shared" si="6"/>
        <v>0</v>
      </c>
      <c r="I166" s="20">
        <f t="shared" si="7"/>
        <v>0</v>
      </c>
      <c r="J166" s="21">
        <f t="shared" si="8"/>
        <v>0</v>
      </c>
      <c r="K166" s="22">
        <v>27.7</v>
      </c>
      <c r="L166" s="23">
        <v>0.378</v>
      </c>
      <c r="M166" s="21">
        <v>1</v>
      </c>
      <c r="N166" s="19" t="str">
        <f>IF(G166&gt;='Resumen Ejecutivo'!$C$8, "CRÍTICA", IF(G166&gt;='Resumen Ejecutivo'!$C$7, "TEMPRANA", "NORMAL"))</f>
        <v>NORMAL</v>
      </c>
    </row>
    <row r="167" spans="2:14" x14ac:dyDescent="0.25">
      <c r="B167" s="14">
        <v>163</v>
      </c>
      <c r="C167" s="14" t="s">
        <v>118</v>
      </c>
      <c r="D167" s="14" t="s">
        <v>119</v>
      </c>
      <c r="E167" s="14" t="s">
        <v>98</v>
      </c>
      <c r="F167" s="15">
        <v>9</v>
      </c>
      <c r="G167" s="15">
        <v>9</v>
      </c>
      <c r="H167" s="15">
        <f t="shared" si="6"/>
        <v>0</v>
      </c>
      <c r="I167" s="15">
        <f t="shared" si="7"/>
        <v>0</v>
      </c>
      <c r="J167" s="16">
        <f t="shared" si="8"/>
        <v>0</v>
      </c>
      <c r="K167" s="17">
        <v>27.9</v>
      </c>
      <c r="L167" s="18">
        <v>0.34300000000000003</v>
      </c>
      <c r="M167" s="16">
        <v>0.95199999999999996</v>
      </c>
      <c r="N167" s="14" t="str">
        <f>IF(G167&gt;='Resumen Ejecutivo'!$C$8, "CRÍTICA", IF(G167&gt;='Resumen Ejecutivo'!$C$7, "TEMPRANA", "NORMAL"))</f>
        <v>NORMAL</v>
      </c>
    </row>
    <row r="168" spans="2:14" x14ac:dyDescent="0.25">
      <c r="B168" s="19">
        <v>164</v>
      </c>
      <c r="C168" s="19" t="s">
        <v>118</v>
      </c>
      <c r="D168" s="19" t="s">
        <v>119</v>
      </c>
      <c r="E168" s="19" t="s">
        <v>99</v>
      </c>
      <c r="F168" s="20">
        <v>8</v>
      </c>
      <c r="G168" s="20">
        <v>9</v>
      </c>
      <c r="H168" s="20">
        <f t="shared" si="6"/>
        <v>1</v>
      </c>
      <c r="I168" s="20">
        <f t="shared" si="7"/>
        <v>1</v>
      </c>
      <c r="J168" s="21">
        <f t="shared" si="8"/>
        <v>0.125</v>
      </c>
      <c r="K168" s="22">
        <v>28</v>
      </c>
      <c r="L168" s="23">
        <v>0.35399999999999998</v>
      </c>
      <c r="M168" s="21">
        <v>0.98299999999999998</v>
      </c>
      <c r="N168" s="19" t="str">
        <f>IF(G168&gt;='Resumen Ejecutivo'!$C$8, "CRÍTICA", IF(G168&gt;='Resumen Ejecutivo'!$C$7, "TEMPRANA", "NORMAL"))</f>
        <v>NORMAL</v>
      </c>
    </row>
    <row r="169" spans="2:14" x14ac:dyDescent="0.25">
      <c r="B169" s="14">
        <v>165</v>
      </c>
      <c r="C169" s="14" t="s">
        <v>118</v>
      </c>
      <c r="D169" s="14" t="s">
        <v>119</v>
      </c>
      <c r="E169" s="14" t="s">
        <v>100</v>
      </c>
      <c r="F169" s="15">
        <v>5</v>
      </c>
      <c r="G169" s="15">
        <v>5</v>
      </c>
      <c r="H169" s="15">
        <f t="shared" si="6"/>
        <v>0</v>
      </c>
      <c r="I169" s="15">
        <f t="shared" si="7"/>
        <v>0</v>
      </c>
      <c r="J169" s="16">
        <f t="shared" si="8"/>
        <v>0</v>
      </c>
      <c r="K169" s="17">
        <v>28.3</v>
      </c>
      <c r="L169" s="18">
        <v>0.33900000000000002</v>
      </c>
      <c r="M169" s="16">
        <v>0.97899999999999998</v>
      </c>
      <c r="N169" s="14" t="str">
        <f>IF(G169&gt;='Resumen Ejecutivo'!$C$8, "CRÍTICA", IF(G169&gt;='Resumen Ejecutivo'!$C$7, "TEMPRANA", "NORMAL"))</f>
        <v>NORMAL</v>
      </c>
    </row>
    <row r="170" spans="2:14" x14ac:dyDescent="0.25">
      <c r="B170" s="19">
        <v>166</v>
      </c>
      <c r="C170" s="19" t="s">
        <v>118</v>
      </c>
      <c r="D170" s="19" t="s">
        <v>119</v>
      </c>
      <c r="E170" s="19" t="s">
        <v>101</v>
      </c>
      <c r="F170" s="20">
        <v>1</v>
      </c>
      <c r="G170" s="20">
        <v>0</v>
      </c>
      <c r="H170" s="20">
        <f t="shared" si="6"/>
        <v>1</v>
      </c>
      <c r="I170" s="20">
        <f t="shared" si="7"/>
        <v>1</v>
      </c>
      <c r="J170" s="21">
        <f t="shared" si="8"/>
        <v>1</v>
      </c>
      <c r="K170" s="22">
        <v>27.8</v>
      </c>
      <c r="L170" s="23">
        <v>0.35499999999999998</v>
      </c>
      <c r="M170" s="21">
        <v>0.95499999999999996</v>
      </c>
      <c r="N170" s="19" t="str">
        <f>IF(G170&gt;='Resumen Ejecutivo'!$C$8, "CRÍTICA", IF(G170&gt;='Resumen Ejecutivo'!$C$7, "TEMPRANA", "NORMAL"))</f>
        <v>NORMAL</v>
      </c>
    </row>
    <row r="171" spans="2:14" x14ac:dyDescent="0.25">
      <c r="B171" s="14">
        <v>167</v>
      </c>
      <c r="C171" s="14" t="s">
        <v>118</v>
      </c>
      <c r="D171" s="14" t="s">
        <v>119</v>
      </c>
      <c r="E171" s="14" t="s">
        <v>102</v>
      </c>
      <c r="F171" s="15">
        <v>1</v>
      </c>
      <c r="G171" s="15">
        <v>1</v>
      </c>
      <c r="H171" s="15">
        <f t="shared" si="6"/>
        <v>0</v>
      </c>
      <c r="I171" s="15">
        <f t="shared" si="7"/>
        <v>0</v>
      </c>
      <c r="J171" s="16">
        <f t="shared" si="8"/>
        <v>0</v>
      </c>
      <c r="K171" s="17">
        <v>27.4</v>
      </c>
      <c r="L171" s="18">
        <v>0.34699999999999998</v>
      </c>
      <c r="M171" s="16">
        <v>0.98399999999999999</v>
      </c>
      <c r="N171" s="14" t="str">
        <f>IF(G171&gt;='Resumen Ejecutivo'!$C$8, "CRÍTICA", IF(G171&gt;='Resumen Ejecutivo'!$C$7, "TEMPRANA", "NORMAL"))</f>
        <v>NORMAL</v>
      </c>
    </row>
    <row r="172" spans="2:14" x14ac:dyDescent="0.25">
      <c r="B172" s="19">
        <v>168</v>
      </c>
      <c r="C172" s="19" t="s">
        <v>118</v>
      </c>
      <c r="D172" s="19" t="s">
        <v>119</v>
      </c>
      <c r="E172" s="19" t="s">
        <v>103</v>
      </c>
      <c r="F172" s="20">
        <v>1</v>
      </c>
      <c r="G172" s="20">
        <v>1</v>
      </c>
      <c r="H172" s="20">
        <f t="shared" si="6"/>
        <v>0</v>
      </c>
      <c r="I172" s="20">
        <f t="shared" si="7"/>
        <v>0</v>
      </c>
      <c r="J172" s="21">
        <f t="shared" si="8"/>
        <v>0</v>
      </c>
      <c r="K172" s="22">
        <v>28.2</v>
      </c>
      <c r="L172" s="23">
        <v>0.34599999999999997</v>
      </c>
      <c r="M172" s="21">
        <v>0.98499999999999999</v>
      </c>
      <c r="N172" s="19" t="str">
        <f>IF(G172&gt;='Resumen Ejecutivo'!$C$8, "CRÍTICA", IF(G172&gt;='Resumen Ejecutivo'!$C$7, "TEMPRANA", "NORMAL"))</f>
        <v>NORMAL</v>
      </c>
    </row>
    <row r="173" spans="2:14" x14ac:dyDescent="0.25">
      <c r="B173" s="14">
        <v>169</v>
      </c>
      <c r="C173" s="14" t="s">
        <v>118</v>
      </c>
      <c r="D173" s="14" t="s">
        <v>119</v>
      </c>
      <c r="E173" s="14" t="s">
        <v>104</v>
      </c>
      <c r="F173" s="15">
        <v>2</v>
      </c>
      <c r="G173" s="15">
        <v>1</v>
      </c>
      <c r="H173" s="15">
        <f t="shared" si="6"/>
        <v>1</v>
      </c>
      <c r="I173" s="15">
        <f t="shared" si="7"/>
        <v>1</v>
      </c>
      <c r="J173" s="16">
        <f t="shared" si="8"/>
        <v>0.5</v>
      </c>
      <c r="K173" s="17">
        <v>27.3</v>
      </c>
      <c r="L173" s="18">
        <v>0.377</v>
      </c>
      <c r="M173" s="16">
        <v>0.99099999999999999</v>
      </c>
      <c r="N173" s="14" t="str">
        <f>IF(G173&gt;='Resumen Ejecutivo'!$C$8, "CRÍTICA", IF(G173&gt;='Resumen Ejecutivo'!$C$7, "TEMPRANA", "NORMAL"))</f>
        <v>NORMAL</v>
      </c>
    </row>
    <row r="174" spans="2:14" x14ac:dyDescent="0.25">
      <c r="B174" s="19">
        <v>170</v>
      </c>
      <c r="C174" s="19" t="s">
        <v>118</v>
      </c>
      <c r="D174" s="19" t="s">
        <v>119</v>
      </c>
      <c r="E174" s="19" t="s">
        <v>105</v>
      </c>
      <c r="F174" s="20">
        <v>4</v>
      </c>
      <c r="G174" s="20">
        <v>4</v>
      </c>
      <c r="H174" s="20">
        <f t="shared" si="6"/>
        <v>0</v>
      </c>
      <c r="I174" s="20">
        <f t="shared" si="7"/>
        <v>0</v>
      </c>
      <c r="J174" s="21">
        <f t="shared" si="8"/>
        <v>0</v>
      </c>
      <c r="K174" s="22">
        <v>27.7</v>
      </c>
      <c r="L174" s="23">
        <v>0.35299999999999998</v>
      </c>
      <c r="M174" s="21">
        <v>0.96599999999999997</v>
      </c>
      <c r="N174" s="19" t="str">
        <f>IF(G174&gt;='Resumen Ejecutivo'!$C$8, "CRÍTICA", IF(G174&gt;='Resumen Ejecutivo'!$C$7, "TEMPRANA", "NORMAL"))</f>
        <v>NORMAL</v>
      </c>
    </row>
    <row r="175" spans="2:14" x14ac:dyDescent="0.25">
      <c r="B175" s="14">
        <v>171</v>
      </c>
      <c r="C175" s="14" t="s">
        <v>118</v>
      </c>
      <c r="D175" s="14" t="s">
        <v>119</v>
      </c>
      <c r="E175" s="14" t="s">
        <v>106</v>
      </c>
      <c r="F175" s="15">
        <v>4</v>
      </c>
      <c r="G175" s="15">
        <v>4</v>
      </c>
      <c r="H175" s="15">
        <f t="shared" si="6"/>
        <v>0</v>
      </c>
      <c r="I175" s="15">
        <f t="shared" si="7"/>
        <v>0</v>
      </c>
      <c r="J175" s="16">
        <f t="shared" si="8"/>
        <v>0</v>
      </c>
      <c r="K175" s="17">
        <v>27.3</v>
      </c>
      <c r="L175" s="18">
        <v>0.379</v>
      </c>
      <c r="M175" s="16">
        <v>0.97</v>
      </c>
      <c r="N175" s="14" t="str">
        <f>IF(G175&gt;='Resumen Ejecutivo'!$C$8, "CRÍTICA", IF(G175&gt;='Resumen Ejecutivo'!$C$7, "TEMPRANA", "NORMAL"))</f>
        <v>NORMAL</v>
      </c>
    </row>
    <row r="176" spans="2:14" x14ac:dyDescent="0.25">
      <c r="B176" s="19">
        <v>172</v>
      </c>
      <c r="C176" s="19" t="s">
        <v>118</v>
      </c>
      <c r="D176" s="19" t="s">
        <v>119</v>
      </c>
      <c r="E176" s="19" t="s">
        <v>107</v>
      </c>
      <c r="F176" s="20">
        <v>1</v>
      </c>
      <c r="G176" s="20">
        <v>1</v>
      </c>
      <c r="H176" s="20">
        <f t="shared" si="6"/>
        <v>0</v>
      </c>
      <c r="I176" s="20">
        <f t="shared" si="7"/>
        <v>0</v>
      </c>
      <c r="J176" s="21">
        <f t="shared" si="8"/>
        <v>0</v>
      </c>
      <c r="K176" s="22">
        <v>27.6</v>
      </c>
      <c r="L176" s="23">
        <v>0.379</v>
      </c>
      <c r="M176" s="21">
        <v>0.98299999999999998</v>
      </c>
      <c r="N176" s="19" t="str">
        <f>IF(G176&gt;='Resumen Ejecutivo'!$C$8, "CRÍTICA", IF(G176&gt;='Resumen Ejecutivo'!$C$7, "TEMPRANA", "NORMAL"))</f>
        <v>NORMAL</v>
      </c>
    </row>
    <row r="177" spans="2:14" x14ac:dyDescent="0.25">
      <c r="B177" s="14">
        <v>173</v>
      </c>
      <c r="C177" s="14" t="s">
        <v>118</v>
      </c>
      <c r="D177" s="14" t="s">
        <v>119</v>
      </c>
      <c r="E177" s="14" t="s">
        <v>108</v>
      </c>
      <c r="F177" s="15">
        <v>4</v>
      </c>
      <c r="G177" s="15">
        <v>4</v>
      </c>
      <c r="H177" s="15">
        <f t="shared" si="6"/>
        <v>0</v>
      </c>
      <c r="I177" s="15">
        <f t="shared" si="7"/>
        <v>0</v>
      </c>
      <c r="J177" s="16">
        <f t="shared" si="8"/>
        <v>0</v>
      </c>
      <c r="K177" s="17">
        <v>27.7</v>
      </c>
      <c r="L177" s="18">
        <v>0.35099999999999998</v>
      </c>
      <c r="M177" s="16">
        <v>0.95899999999999996</v>
      </c>
      <c r="N177" s="14" t="str">
        <f>IF(G177&gt;='Resumen Ejecutivo'!$C$8, "CRÍTICA", IF(G177&gt;='Resumen Ejecutivo'!$C$7, "TEMPRANA", "NORMAL"))</f>
        <v>NORMAL</v>
      </c>
    </row>
    <row r="178" spans="2:14" x14ac:dyDescent="0.25">
      <c r="B178" s="19">
        <v>174</v>
      </c>
      <c r="C178" s="19" t="s">
        <v>118</v>
      </c>
      <c r="D178" s="19" t="s">
        <v>119</v>
      </c>
      <c r="E178" s="19" t="s">
        <v>109</v>
      </c>
      <c r="F178" s="20">
        <v>0</v>
      </c>
      <c r="G178" s="20">
        <v>0</v>
      </c>
      <c r="H178" s="20">
        <f t="shared" si="6"/>
        <v>0</v>
      </c>
      <c r="I178" s="20">
        <f t="shared" si="7"/>
        <v>0</v>
      </c>
      <c r="J178" s="21">
        <f t="shared" si="8"/>
        <v>0</v>
      </c>
      <c r="K178" s="22">
        <v>27.4</v>
      </c>
      <c r="L178" s="23">
        <v>0.36799999999999999</v>
      </c>
      <c r="M178" s="21">
        <v>0.98099999999999998</v>
      </c>
      <c r="N178" s="19" t="str">
        <f>IF(G178&gt;='Resumen Ejecutivo'!$C$8, "CRÍTICA", IF(G178&gt;='Resumen Ejecutivo'!$C$7, "TEMPRANA", "NORMAL"))</f>
        <v>NORMAL</v>
      </c>
    </row>
    <row r="179" spans="2:14" x14ac:dyDescent="0.25">
      <c r="B179" s="14">
        <v>175</v>
      </c>
      <c r="C179" s="14" t="s">
        <v>118</v>
      </c>
      <c r="D179" s="14" t="s">
        <v>119</v>
      </c>
      <c r="E179" s="14" t="s">
        <v>110</v>
      </c>
      <c r="F179" s="15">
        <v>3</v>
      </c>
      <c r="G179" s="15">
        <v>3</v>
      </c>
      <c r="H179" s="15">
        <f t="shared" si="6"/>
        <v>0</v>
      </c>
      <c r="I179" s="15">
        <f t="shared" si="7"/>
        <v>0</v>
      </c>
      <c r="J179" s="16">
        <f t="shared" si="8"/>
        <v>0</v>
      </c>
      <c r="K179" s="17">
        <v>28</v>
      </c>
      <c r="L179" s="18">
        <v>0.34</v>
      </c>
      <c r="M179" s="16">
        <v>0.97699999999999998</v>
      </c>
      <c r="N179" s="14" t="str">
        <f>IF(G179&gt;='Resumen Ejecutivo'!$C$8, "CRÍTICA", IF(G179&gt;='Resumen Ejecutivo'!$C$7, "TEMPRANA", "NORMAL"))</f>
        <v>NORMAL</v>
      </c>
    </row>
    <row r="180" spans="2:14" x14ac:dyDescent="0.25">
      <c r="B180" s="19">
        <v>176</v>
      </c>
      <c r="C180" s="19" t="s">
        <v>118</v>
      </c>
      <c r="D180" s="19" t="s">
        <v>119</v>
      </c>
      <c r="E180" s="19" t="s">
        <v>111</v>
      </c>
      <c r="F180" s="20">
        <v>1</v>
      </c>
      <c r="G180" s="20">
        <v>1</v>
      </c>
      <c r="H180" s="20">
        <f t="shared" si="6"/>
        <v>0</v>
      </c>
      <c r="I180" s="20">
        <f t="shared" si="7"/>
        <v>0</v>
      </c>
      <c r="J180" s="21">
        <f t="shared" si="8"/>
        <v>0</v>
      </c>
      <c r="K180" s="22">
        <v>28.3</v>
      </c>
      <c r="L180" s="23">
        <v>0.35199999999999998</v>
      </c>
      <c r="M180" s="21">
        <v>0.98499999999999999</v>
      </c>
      <c r="N180" s="19" t="str">
        <f>IF(G180&gt;='Resumen Ejecutivo'!$C$8, "CRÍTICA", IF(G180&gt;='Resumen Ejecutivo'!$C$7, "TEMPRANA", "NORMAL"))</f>
        <v>NORMAL</v>
      </c>
    </row>
    <row r="181" spans="2:14" x14ac:dyDescent="0.25">
      <c r="B181" s="14">
        <v>177</v>
      </c>
      <c r="C181" s="14" t="s">
        <v>118</v>
      </c>
      <c r="D181" s="14" t="s">
        <v>119</v>
      </c>
      <c r="E181" s="14" t="s">
        <v>112</v>
      </c>
      <c r="F181" s="15">
        <v>1</v>
      </c>
      <c r="G181" s="15">
        <v>1</v>
      </c>
      <c r="H181" s="15">
        <f t="shared" si="6"/>
        <v>0</v>
      </c>
      <c r="I181" s="15">
        <f t="shared" si="7"/>
        <v>0</v>
      </c>
      <c r="J181" s="16">
        <f t="shared" si="8"/>
        <v>0</v>
      </c>
      <c r="K181" s="17">
        <v>27</v>
      </c>
      <c r="L181" s="18">
        <v>0.379</v>
      </c>
      <c r="M181" s="16">
        <v>0.98</v>
      </c>
      <c r="N181" s="14" t="str">
        <f>IF(G181&gt;='Resumen Ejecutivo'!$C$8, "CRÍTICA", IF(G181&gt;='Resumen Ejecutivo'!$C$7, "TEMPRANA", "NORMAL"))</f>
        <v>NORMAL</v>
      </c>
    </row>
    <row r="182" spans="2:14" x14ac:dyDescent="0.25">
      <c r="B182" s="19">
        <v>178</v>
      </c>
      <c r="C182" s="19" t="s">
        <v>118</v>
      </c>
      <c r="D182" s="19" t="s">
        <v>119</v>
      </c>
      <c r="E182" s="19" t="s">
        <v>113</v>
      </c>
      <c r="F182" s="20">
        <v>2</v>
      </c>
      <c r="G182" s="20">
        <v>2</v>
      </c>
      <c r="H182" s="20">
        <f t="shared" si="6"/>
        <v>0</v>
      </c>
      <c r="I182" s="20">
        <f t="shared" si="7"/>
        <v>0</v>
      </c>
      <c r="J182" s="21">
        <f t="shared" si="8"/>
        <v>0</v>
      </c>
      <c r="K182" s="22">
        <v>27.2</v>
      </c>
      <c r="L182" s="23">
        <v>0.33800000000000002</v>
      </c>
      <c r="M182" s="21">
        <v>0.97799999999999998</v>
      </c>
      <c r="N182" s="19" t="str">
        <f>IF(G182&gt;='Resumen Ejecutivo'!$C$8, "CRÍTICA", IF(G182&gt;='Resumen Ejecutivo'!$C$7, "TEMPRANA", "NORMAL"))</f>
        <v>NORMAL</v>
      </c>
    </row>
    <row r="183" spans="2:14" x14ac:dyDescent="0.25">
      <c r="B183" s="14">
        <v>179</v>
      </c>
      <c r="C183" s="14" t="s">
        <v>118</v>
      </c>
      <c r="D183" s="14" t="s">
        <v>119</v>
      </c>
      <c r="E183" s="14" t="s">
        <v>114</v>
      </c>
      <c r="F183" s="15">
        <v>2</v>
      </c>
      <c r="G183" s="15">
        <v>2</v>
      </c>
      <c r="H183" s="15">
        <f t="shared" si="6"/>
        <v>0</v>
      </c>
      <c r="I183" s="15">
        <f t="shared" si="7"/>
        <v>0</v>
      </c>
      <c r="J183" s="16">
        <f t="shared" si="8"/>
        <v>0</v>
      </c>
      <c r="K183" s="17">
        <v>27.7</v>
      </c>
      <c r="L183" s="18">
        <v>0.33500000000000002</v>
      </c>
      <c r="M183" s="16">
        <v>1</v>
      </c>
      <c r="N183" s="14" t="str">
        <f>IF(G183&gt;='Resumen Ejecutivo'!$C$8, "CRÍTICA", IF(G183&gt;='Resumen Ejecutivo'!$C$7, "TEMPRANA", "NORMAL"))</f>
        <v>NORMAL</v>
      </c>
    </row>
    <row r="184" spans="2:14" x14ac:dyDescent="0.25">
      <c r="B184" s="19">
        <v>180</v>
      </c>
      <c r="C184" s="19" t="s">
        <v>118</v>
      </c>
      <c r="D184" s="19" t="s">
        <v>119</v>
      </c>
      <c r="E184" s="19" t="s">
        <v>115</v>
      </c>
      <c r="F184" s="20">
        <v>4</v>
      </c>
      <c r="G184" s="20">
        <v>4</v>
      </c>
      <c r="H184" s="20">
        <f t="shared" si="6"/>
        <v>0</v>
      </c>
      <c r="I184" s="20">
        <f t="shared" si="7"/>
        <v>0</v>
      </c>
      <c r="J184" s="21">
        <f t="shared" si="8"/>
        <v>0</v>
      </c>
      <c r="K184" s="22">
        <v>28.3</v>
      </c>
      <c r="L184" s="23">
        <v>0.35299999999999998</v>
      </c>
      <c r="M184" s="21">
        <v>0.95599999999999996</v>
      </c>
      <c r="N184" s="19" t="str">
        <f>IF(G184&gt;='Resumen Ejecutivo'!$C$8, "CRÍTICA", IF(G184&gt;='Resumen Ejecutivo'!$C$7, "TEMPRANA", "NORMAL"))</f>
        <v>NORMAL</v>
      </c>
    </row>
    <row r="185" spans="2:14" x14ac:dyDescent="0.25">
      <c r="B185" s="14">
        <v>181</v>
      </c>
      <c r="C185" s="14" t="s">
        <v>120</v>
      </c>
      <c r="D185" s="14" t="s">
        <v>121</v>
      </c>
      <c r="E185" s="14" t="s">
        <v>56</v>
      </c>
      <c r="F185" s="15">
        <v>0</v>
      </c>
      <c r="G185" s="15">
        <v>0</v>
      </c>
      <c r="H185" s="15">
        <f t="shared" si="6"/>
        <v>0</v>
      </c>
      <c r="I185" s="15">
        <f t="shared" si="7"/>
        <v>0</v>
      </c>
      <c r="J185" s="16">
        <f t="shared" si="8"/>
        <v>0</v>
      </c>
      <c r="K185" s="17">
        <v>26.8</v>
      </c>
      <c r="L185" s="18">
        <v>0.34599999999999997</v>
      </c>
      <c r="M185" s="16">
        <v>0.95299999999999996</v>
      </c>
      <c r="N185" s="14" t="str">
        <f>IF(G185&gt;='Resumen Ejecutivo'!$C$8, "CRÍTICA", IF(G185&gt;='Resumen Ejecutivo'!$C$7, "TEMPRANA", "NORMAL"))</f>
        <v>NORMAL</v>
      </c>
    </row>
    <row r="186" spans="2:14" x14ac:dyDescent="0.25">
      <c r="B186" s="19">
        <v>182</v>
      </c>
      <c r="C186" s="19" t="s">
        <v>120</v>
      </c>
      <c r="D186" s="19" t="s">
        <v>121</v>
      </c>
      <c r="E186" s="19" t="s">
        <v>57</v>
      </c>
      <c r="F186" s="20">
        <v>0</v>
      </c>
      <c r="G186" s="20">
        <v>0</v>
      </c>
      <c r="H186" s="20">
        <f t="shared" si="6"/>
        <v>0</v>
      </c>
      <c r="I186" s="20">
        <f t="shared" si="7"/>
        <v>0</v>
      </c>
      <c r="J186" s="21">
        <f t="shared" si="8"/>
        <v>0</v>
      </c>
      <c r="K186" s="22">
        <v>27.4</v>
      </c>
      <c r="L186" s="23">
        <v>0.35199999999999998</v>
      </c>
      <c r="M186" s="21">
        <v>0.96199999999999997</v>
      </c>
      <c r="N186" s="19" t="str">
        <f>IF(G186&gt;='Resumen Ejecutivo'!$C$8, "CRÍTICA", IF(G186&gt;='Resumen Ejecutivo'!$C$7, "TEMPRANA", "NORMAL"))</f>
        <v>NORMAL</v>
      </c>
    </row>
    <row r="187" spans="2:14" x14ac:dyDescent="0.25">
      <c r="B187" s="14">
        <v>183</v>
      </c>
      <c r="C187" s="14" t="s">
        <v>120</v>
      </c>
      <c r="D187" s="14" t="s">
        <v>121</v>
      </c>
      <c r="E187" s="14" t="s">
        <v>58</v>
      </c>
      <c r="F187" s="15">
        <v>2</v>
      </c>
      <c r="G187" s="15">
        <v>2</v>
      </c>
      <c r="H187" s="15">
        <f t="shared" si="6"/>
        <v>0</v>
      </c>
      <c r="I187" s="15">
        <f t="shared" si="7"/>
        <v>0</v>
      </c>
      <c r="J187" s="16">
        <f t="shared" si="8"/>
        <v>0</v>
      </c>
      <c r="K187" s="17">
        <v>27.5</v>
      </c>
      <c r="L187" s="18">
        <v>0.36399999999999999</v>
      </c>
      <c r="M187" s="16">
        <v>0.95899999999999996</v>
      </c>
      <c r="N187" s="14" t="str">
        <f>IF(G187&gt;='Resumen Ejecutivo'!$C$8, "CRÍTICA", IF(G187&gt;='Resumen Ejecutivo'!$C$7, "TEMPRANA", "NORMAL"))</f>
        <v>NORMAL</v>
      </c>
    </row>
    <row r="188" spans="2:14" x14ac:dyDescent="0.25">
      <c r="B188" s="19">
        <v>184</v>
      </c>
      <c r="C188" s="19" t="s">
        <v>120</v>
      </c>
      <c r="D188" s="19" t="s">
        <v>121</v>
      </c>
      <c r="E188" s="19" t="s">
        <v>59</v>
      </c>
      <c r="F188" s="20">
        <v>2</v>
      </c>
      <c r="G188" s="20">
        <v>2</v>
      </c>
      <c r="H188" s="20">
        <f t="shared" si="6"/>
        <v>0</v>
      </c>
      <c r="I188" s="20">
        <f t="shared" si="7"/>
        <v>0</v>
      </c>
      <c r="J188" s="21">
        <f t="shared" si="8"/>
        <v>0</v>
      </c>
      <c r="K188" s="22">
        <v>27.1</v>
      </c>
      <c r="L188" s="23">
        <v>0.36</v>
      </c>
      <c r="M188" s="21">
        <v>0.96899999999999997</v>
      </c>
      <c r="N188" s="19" t="str">
        <f>IF(G188&gt;='Resumen Ejecutivo'!$C$8, "CRÍTICA", IF(G188&gt;='Resumen Ejecutivo'!$C$7, "TEMPRANA", "NORMAL"))</f>
        <v>NORMAL</v>
      </c>
    </row>
    <row r="189" spans="2:14" x14ac:dyDescent="0.25">
      <c r="B189" s="14">
        <v>185</v>
      </c>
      <c r="C189" s="14" t="s">
        <v>120</v>
      </c>
      <c r="D189" s="14" t="s">
        <v>121</v>
      </c>
      <c r="E189" s="14" t="s">
        <v>60</v>
      </c>
      <c r="F189" s="15">
        <v>2</v>
      </c>
      <c r="G189" s="15">
        <v>2</v>
      </c>
      <c r="H189" s="15">
        <f t="shared" si="6"/>
        <v>0</v>
      </c>
      <c r="I189" s="15">
        <f t="shared" si="7"/>
        <v>0</v>
      </c>
      <c r="J189" s="16">
        <f t="shared" si="8"/>
        <v>0</v>
      </c>
      <c r="K189" s="17">
        <v>27.9</v>
      </c>
      <c r="L189" s="18">
        <v>0.35499999999999998</v>
      </c>
      <c r="M189" s="16">
        <v>0.97899999999999998</v>
      </c>
      <c r="N189" s="14" t="str">
        <f>IF(G189&gt;='Resumen Ejecutivo'!$C$8, "CRÍTICA", IF(G189&gt;='Resumen Ejecutivo'!$C$7, "TEMPRANA", "NORMAL"))</f>
        <v>NORMAL</v>
      </c>
    </row>
    <row r="190" spans="2:14" x14ac:dyDescent="0.25">
      <c r="B190" s="19">
        <v>186</v>
      </c>
      <c r="C190" s="19" t="s">
        <v>120</v>
      </c>
      <c r="D190" s="19" t="s">
        <v>121</v>
      </c>
      <c r="E190" s="19" t="s">
        <v>61</v>
      </c>
      <c r="F190" s="20">
        <v>0</v>
      </c>
      <c r="G190" s="20">
        <v>0</v>
      </c>
      <c r="H190" s="20">
        <f t="shared" si="6"/>
        <v>0</v>
      </c>
      <c r="I190" s="20">
        <f t="shared" si="7"/>
        <v>0</v>
      </c>
      <c r="J190" s="21">
        <f t="shared" si="8"/>
        <v>0</v>
      </c>
      <c r="K190" s="22">
        <v>27.2</v>
      </c>
      <c r="L190" s="23">
        <v>0.36199999999999999</v>
      </c>
      <c r="M190" s="21">
        <v>0.97299999999999998</v>
      </c>
      <c r="N190" s="19" t="str">
        <f>IF(G190&gt;='Resumen Ejecutivo'!$C$8, "CRÍTICA", IF(G190&gt;='Resumen Ejecutivo'!$C$7, "TEMPRANA", "NORMAL"))</f>
        <v>NORMAL</v>
      </c>
    </row>
    <row r="191" spans="2:14" x14ac:dyDescent="0.25">
      <c r="B191" s="14">
        <v>187</v>
      </c>
      <c r="C191" s="14" t="s">
        <v>120</v>
      </c>
      <c r="D191" s="14" t="s">
        <v>121</v>
      </c>
      <c r="E191" s="14" t="s">
        <v>62</v>
      </c>
      <c r="F191" s="15">
        <v>2</v>
      </c>
      <c r="G191" s="15">
        <v>2</v>
      </c>
      <c r="H191" s="15">
        <f t="shared" si="6"/>
        <v>0</v>
      </c>
      <c r="I191" s="15">
        <f t="shared" si="7"/>
        <v>0</v>
      </c>
      <c r="J191" s="16">
        <f t="shared" si="8"/>
        <v>0</v>
      </c>
      <c r="K191" s="17">
        <v>27.9</v>
      </c>
      <c r="L191" s="18">
        <v>0.375</v>
      </c>
      <c r="M191" s="16">
        <v>0.97299999999999998</v>
      </c>
      <c r="N191" s="14" t="str">
        <f>IF(G191&gt;='Resumen Ejecutivo'!$C$8, "CRÍTICA", IF(G191&gt;='Resumen Ejecutivo'!$C$7, "TEMPRANA", "NORMAL"))</f>
        <v>NORMAL</v>
      </c>
    </row>
    <row r="192" spans="2:14" x14ac:dyDescent="0.25">
      <c r="B192" s="19">
        <v>188</v>
      </c>
      <c r="C192" s="19" t="s">
        <v>120</v>
      </c>
      <c r="D192" s="19" t="s">
        <v>121</v>
      </c>
      <c r="E192" s="19" t="s">
        <v>63</v>
      </c>
      <c r="F192" s="20">
        <v>4</v>
      </c>
      <c r="G192" s="20">
        <v>4</v>
      </c>
      <c r="H192" s="20">
        <f t="shared" si="6"/>
        <v>0</v>
      </c>
      <c r="I192" s="20">
        <f t="shared" si="7"/>
        <v>0</v>
      </c>
      <c r="J192" s="21">
        <f t="shared" si="8"/>
        <v>0</v>
      </c>
      <c r="K192" s="22">
        <v>27.3</v>
      </c>
      <c r="L192" s="23">
        <v>0.35699999999999998</v>
      </c>
      <c r="M192" s="21">
        <v>0.95399999999999996</v>
      </c>
      <c r="N192" s="19" t="str">
        <f>IF(G192&gt;='Resumen Ejecutivo'!$C$8, "CRÍTICA", IF(G192&gt;='Resumen Ejecutivo'!$C$7, "TEMPRANA", "NORMAL"))</f>
        <v>NORMAL</v>
      </c>
    </row>
    <row r="193" spans="2:14" x14ac:dyDescent="0.25">
      <c r="B193" s="14">
        <v>189</v>
      </c>
      <c r="C193" s="14" t="s">
        <v>120</v>
      </c>
      <c r="D193" s="14" t="s">
        <v>121</v>
      </c>
      <c r="E193" s="14" t="s">
        <v>64</v>
      </c>
      <c r="F193" s="15">
        <v>3</v>
      </c>
      <c r="G193" s="15">
        <v>3</v>
      </c>
      <c r="H193" s="15">
        <f t="shared" si="6"/>
        <v>0</v>
      </c>
      <c r="I193" s="15">
        <f t="shared" si="7"/>
        <v>0</v>
      </c>
      <c r="J193" s="16">
        <f t="shared" si="8"/>
        <v>0</v>
      </c>
      <c r="K193" s="17">
        <v>28.3</v>
      </c>
      <c r="L193" s="18">
        <v>0.379</v>
      </c>
      <c r="M193" s="16">
        <v>0.96499999999999997</v>
      </c>
      <c r="N193" s="14" t="str">
        <f>IF(G193&gt;='Resumen Ejecutivo'!$C$8, "CRÍTICA", IF(G193&gt;='Resumen Ejecutivo'!$C$7, "TEMPRANA", "NORMAL"))</f>
        <v>NORMAL</v>
      </c>
    </row>
    <row r="194" spans="2:14" x14ac:dyDescent="0.25">
      <c r="B194" s="19">
        <v>190</v>
      </c>
      <c r="C194" s="19" t="s">
        <v>120</v>
      </c>
      <c r="D194" s="19" t="s">
        <v>121</v>
      </c>
      <c r="E194" s="19" t="s">
        <v>65</v>
      </c>
      <c r="F194" s="20">
        <v>1</v>
      </c>
      <c r="G194" s="20">
        <v>1</v>
      </c>
      <c r="H194" s="20">
        <f t="shared" si="6"/>
        <v>0</v>
      </c>
      <c r="I194" s="20">
        <f t="shared" si="7"/>
        <v>0</v>
      </c>
      <c r="J194" s="21">
        <f t="shared" si="8"/>
        <v>0</v>
      </c>
      <c r="K194" s="22">
        <v>28.3</v>
      </c>
      <c r="L194" s="23">
        <v>0.36499999999999999</v>
      </c>
      <c r="M194" s="21">
        <v>0.97299999999999998</v>
      </c>
      <c r="N194" s="19" t="str">
        <f>IF(G194&gt;='Resumen Ejecutivo'!$C$8, "CRÍTICA", IF(G194&gt;='Resumen Ejecutivo'!$C$7, "TEMPRANA", "NORMAL"))</f>
        <v>NORMAL</v>
      </c>
    </row>
    <row r="195" spans="2:14" x14ac:dyDescent="0.25">
      <c r="B195" s="14">
        <v>191</v>
      </c>
      <c r="C195" s="14" t="s">
        <v>120</v>
      </c>
      <c r="D195" s="14" t="s">
        <v>121</v>
      </c>
      <c r="E195" s="14" t="s">
        <v>66</v>
      </c>
      <c r="F195" s="15">
        <v>0</v>
      </c>
      <c r="G195" s="15">
        <v>0</v>
      </c>
      <c r="H195" s="15">
        <f t="shared" si="6"/>
        <v>0</v>
      </c>
      <c r="I195" s="15">
        <f t="shared" si="7"/>
        <v>0</v>
      </c>
      <c r="J195" s="16">
        <f t="shared" si="8"/>
        <v>0</v>
      </c>
      <c r="K195" s="17">
        <v>27.3</v>
      </c>
      <c r="L195" s="18">
        <v>0.38</v>
      </c>
      <c r="M195" s="16">
        <v>0.99299999999999999</v>
      </c>
      <c r="N195" s="14" t="str">
        <f>IF(G195&gt;='Resumen Ejecutivo'!$C$8, "CRÍTICA", IF(G195&gt;='Resumen Ejecutivo'!$C$7, "TEMPRANA", "NORMAL"))</f>
        <v>NORMAL</v>
      </c>
    </row>
    <row r="196" spans="2:14" x14ac:dyDescent="0.25">
      <c r="B196" s="19">
        <v>192</v>
      </c>
      <c r="C196" s="19" t="s">
        <v>120</v>
      </c>
      <c r="D196" s="19" t="s">
        <v>121</v>
      </c>
      <c r="E196" s="19" t="s">
        <v>67</v>
      </c>
      <c r="F196" s="20">
        <v>2</v>
      </c>
      <c r="G196" s="20">
        <v>3</v>
      </c>
      <c r="H196" s="20">
        <f t="shared" si="6"/>
        <v>1</v>
      </c>
      <c r="I196" s="20">
        <f t="shared" si="7"/>
        <v>1</v>
      </c>
      <c r="J196" s="21">
        <f t="shared" si="8"/>
        <v>0.5</v>
      </c>
      <c r="K196" s="22">
        <v>27</v>
      </c>
      <c r="L196" s="23">
        <v>0.34899999999999998</v>
      </c>
      <c r="M196" s="21">
        <v>0.96799999999999997</v>
      </c>
      <c r="N196" s="19" t="str">
        <f>IF(G196&gt;='Resumen Ejecutivo'!$C$8, "CRÍTICA", IF(G196&gt;='Resumen Ejecutivo'!$C$7, "TEMPRANA", "NORMAL"))</f>
        <v>NORMAL</v>
      </c>
    </row>
    <row r="197" spans="2:14" x14ac:dyDescent="0.25">
      <c r="B197" s="14">
        <v>193</v>
      </c>
      <c r="C197" s="14" t="s">
        <v>120</v>
      </c>
      <c r="D197" s="14" t="s">
        <v>121</v>
      </c>
      <c r="E197" s="14" t="s">
        <v>68</v>
      </c>
      <c r="F197" s="15">
        <v>0</v>
      </c>
      <c r="G197" s="15">
        <v>0</v>
      </c>
      <c r="H197" s="15">
        <f t="shared" ref="H197:H260" si="9">ABS(G197-F197)</f>
        <v>0</v>
      </c>
      <c r="I197" s="15">
        <f t="shared" ref="I197:I260" si="10">(G197-F197)^2</f>
        <v>0</v>
      </c>
      <c r="J197" s="16">
        <f t="shared" ref="J197:J260" si="11">IFERROR(H197/F197,0)</f>
        <v>0</v>
      </c>
      <c r="K197" s="17">
        <v>27.3</v>
      </c>
      <c r="L197" s="18">
        <v>0.36499999999999999</v>
      </c>
      <c r="M197" s="16">
        <v>0.95099999999999996</v>
      </c>
      <c r="N197" s="14" t="str">
        <f>IF(G197&gt;='Resumen Ejecutivo'!$C$8, "CRÍTICA", IF(G197&gt;='Resumen Ejecutivo'!$C$7, "TEMPRANA", "NORMAL"))</f>
        <v>NORMAL</v>
      </c>
    </row>
    <row r="198" spans="2:14" x14ac:dyDescent="0.25">
      <c r="B198" s="19">
        <v>194</v>
      </c>
      <c r="C198" s="19" t="s">
        <v>120</v>
      </c>
      <c r="D198" s="19" t="s">
        <v>121</v>
      </c>
      <c r="E198" s="19" t="s">
        <v>69</v>
      </c>
      <c r="F198" s="20">
        <v>2</v>
      </c>
      <c r="G198" s="20">
        <v>2</v>
      </c>
      <c r="H198" s="20">
        <f t="shared" si="9"/>
        <v>0</v>
      </c>
      <c r="I198" s="20">
        <f t="shared" si="10"/>
        <v>0</v>
      </c>
      <c r="J198" s="21">
        <f t="shared" si="11"/>
        <v>0</v>
      </c>
      <c r="K198" s="22">
        <v>28.1</v>
      </c>
      <c r="L198" s="23">
        <v>0.35</v>
      </c>
      <c r="M198" s="21">
        <v>0.95</v>
      </c>
      <c r="N198" s="19" t="str">
        <f>IF(G198&gt;='Resumen Ejecutivo'!$C$8, "CRÍTICA", IF(G198&gt;='Resumen Ejecutivo'!$C$7, "TEMPRANA", "NORMAL"))</f>
        <v>NORMAL</v>
      </c>
    </row>
    <row r="199" spans="2:14" x14ac:dyDescent="0.25">
      <c r="B199" s="14">
        <v>195</v>
      </c>
      <c r="C199" s="14" t="s">
        <v>120</v>
      </c>
      <c r="D199" s="14" t="s">
        <v>121</v>
      </c>
      <c r="E199" s="14" t="s">
        <v>70</v>
      </c>
      <c r="F199" s="15">
        <v>2</v>
      </c>
      <c r="G199" s="15">
        <v>3</v>
      </c>
      <c r="H199" s="15">
        <f t="shared" si="9"/>
        <v>1</v>
      </c>
      <c r="I199" s="15">
        <f t="shared" si="10"/>
        <v>1</v>
      </c>
      <c r="J199" s="16">
        <f t="shared" si="11"/>
        <v>0.5</v>
      </c>
      <c r="K199" s="17">
        <v>28.2</v>
      </c>
      <c r="L199" s="18">
        <v>0.36899999999999999</v>
      </c>
      <c r="M199" s="16">
        <v>0.999</v>
      </c>
      <c r="N199" s="14" t="str">
        <f>IF(G199&gt;='Resumen Ejecutivo'!$C$8, "CRÍTICA", IF(G199&gt;='Resumen Ejecutivo'!$C$7, "TEMPRANA", "NORMAL"))</f>
        <v>NORMAL</v>
      </c>
    </row>
    <row r="200" spans="2:14" x14ac:dyDescent="0.25">
      <c r="B200" s="19">
        <v>196</v>
      </c>
      <c r="C200" s="19" t="s">
        <v>120</v>
      </c>
      <c r="D200" s="19" t="s">
        <v>121</v>
      </c>
      <c r="E200" s="19" t="s">
        <v>71</v>
      </c>
      <c r="F200" s="20">
        <v>2</v>
      </c>
      <c r="G200" s="20">
        <v>2</v>
      </c>
      <c r="H200" s="20">
        <f t="shared" si="9"/>
        <v>0</v>
      </c>
      <c r="I200" s="20">
        <f t="shared" si="10"/>
        <v>0</v>
      </c>
      <c r="J200" s="21">
        <f t="shared" si="11"/>
        <v>0</v>
      </c>
      <c r="K200" s="22">
        <v>28.3</v>
      </c>
      <c r="L200" s="23">
        <v>0.36699999999999999</v>
      </c>
      <c r="M200" s="21">
        <v>0.99199999999999999</v>
      </c>
      <c r="N200" s="19" t="str">
        <f>IF(G200&gt;='Resumen Ejecutivo'!$C$8, "CRÍTICA", IF(G200&gt;='Resumen Ejecutivo'!$C$7, "TEMPRANA", "NORMAL"))</f>
        <v>NORMAL</v>
      </c>
    </row>
    <row r="201" spans="2:14" x14ac:dyDescent="0.25">
      <c r="B201" s="14">
        <v>197</v>
      </c>
      <c r="C201" s="14" t="s">
        <v>120</v>
      </c>
      <c r="D201" s="14" t="s">
        <v>121</v>
      </c>
      <c r="E201" s="14" t="s">
        <v>72</v>
      </c>
      <c r="F201" s="15">
        <v>2</v>
      </c>
      <c r="G201" s="15">
        <v>2</v>
      </c>
      <c r="H201" s="15">
        <f t="shared" si="9"/>
        <v>0</v>
      </c>
      <c r="I201" s="15">
        <f t="shared" si="10"/>
        <v>0</v>
      </c>
      <c r="J201" s="16">
        <f t="shared" si="11"/>
        <v>0</v>
      </c>
      <c r="K201" s="17">
        <v>28.2</v>
      </c>
      <c r="L201" s="18">
        <v>0.36899999999999999</v>
      </c>
      <c r="M201" s="16">
        <v>0.96199999999999997</v>
      </c>
      <c r="N201" s="14" t="str">
        <f>IF(G201&gt;='Resumen Ejecutivo'!$C$8, "CRÍTICA", IF(G201&gt;='Resumen Ejecutivo'!$C$7, "TEMPRANA", "NORMAL"))</f>
        <v>NORMAL</v>
      </c>
    </row>
    <row r="202" spans="2:14" x14ac:dyDescent="0.25">
      <c r="B202" s="19">
        <v>198</v>
      </c>
      <c r="C202" s="19" t="s">
        <v>120</v>
      </c>
      <c r="D202" s="19" t="s">
        <v>121</v>
      </c>
      <c r="E202" s="19" t="s">
        <v>73</v>
      </c>
      <c r="F202" s="20">
        <v>3</v>
      </c>
      <c r="G202" s="20">
        <v>3</v>
      </c>
      <c r="H202" s="20">
        <f t="shared" si="9"/>
        <v>0</v>
      </c>
      <c r="I202" s="20">
        <f t="shared" si="10"/>
        <v>0</v>
      </c>
      <c r="J202" s="21">
        <f t="shared" si="11"/>
        <v>0</v>
      </c>
      <c r="K202" s="22">
        <v>28.1</v>
      </c>
      <c r="L202" s="23">
        <v>0.34100000000000003</v>
      </c>
      <c r="M202" s="21">
        <v>0.96</v>
      </c>
      <c r="N202" s="19" t="str">
        <f>IF(G202&gt;='Resumen Ejecutivo'!$C$8, "CRÍTICA", IF(G202&gt;='Resumen Ejecutivo'!$C$7, "TEMPRANA", "NORMAL"))</f>
        <v>NORMAL</v>
      </c>
    </row>
    <row r="203" spans="2:14" x14ac:dyDescent="0.25">
      <c r="B203" s="14">
        <v>199</v>
      </c>
      <c r="C203" s="14" t="s">
        <v>120</v>
      </c>
      <c r="D203" s="14" t="s">
        <v>121</v>
      </c>
      <c r="E203" s="14" t="s">
        <v>74</v>
      </c>
      <c r="F203" s="15">
        <v>1</v>
      </c>
      <c r="G203" s="15">
        <v>1</v>
      </c>
      <c r="H203" s="15">
        <f t="shared" si="9"/>
        <v>0</v>
      </c>
      <c r="I203" s="15">
        <f t="shared" si="10"/>
        <v>0</v>
      </c>
      <c r="J203" s="16">
        <f t="shared" si="11"/>
        <v>0</v>
      </c>
      <c r="K203" s="17">
        <v>27.2</v>
      </c>
      <c r="L203" s="18">
        <v>0.36799999999999999</v>
      </c>
      <c r="M203" s="16">
        <v>0.98799999999999999</v>
      </c>
      <c r="N203" s="14" t="str">
        <f>IF(G203&gt;='Resumen Ejecutivo'!$C$8, "CRÍTICA", IF(G203&gt;='Resumen Ejecutivo'!$C$7, "TEMPRANA", "NORMAL"))</f>
        <v>NORMAL</v>
      </c>
    </row>
    <row r="204" spans="2:14" x14ac:dyDescent="0.25">
      <c r="B204" s="19">
        <v>200</v>
      </c>
      <c r="C204" s="19" t="s">
        <v>120</v>
      </c>
      <c r="D204" s="19" t="s">
        <v>121</v>
      </c>
      <c r="E204" s="19" t="s">
        <v>75</v>
      </c>
      <c r="F204" s="20">
        <v>5</v>
      </c>
      <c r="G204" s="20">
        <v>5</v>
      </c>
      <c r="H204" s="20">
        <f t="shared" si="9"/>
        <v>0</v>
      </c>
      <c r="I204" s="20">
        <f t="shared" si="10"/>
        <v>0</v>
      </c>
      <c r="J204" s="21">
        <f t="shared" si="11"/>
        <v>0</v>
      </c>
      <c r="K204" s="22">
        <v>27.9</v>
      </c>
      <c r="L204" s="23">
        <v>0.33700000000000002</v>
      </c>
      <c r="M204" s="21">
        <v>0.95499999999999996</v>
      </c>
      <c r="N204" s="19" t="str">
        <f>IF(G204&gt;='Resumen Ejecutivo'!$C$8, "CRÍTICA", IF(G204&gt;='Resumen Ejecutivo'!$C$7, "TEMPRANA", "NORMAL"))</f>
        <v>NORMAL</v>
      </c>
    </row>
    <row r="205" spans="2:14" x14ac:dyDescent="0.25">
      <c r="B205" s="14">
        <v>201</v>
      </c>
      <c r="C205" s="14" t="s">
        <v>120</v>
      </c>
      <c r="D205" s="14" t="s">
        <v>121</v>
      </c>
      <c r="E205" s="14" t="s">
        <v>76</v>
      </c>
      <c r="F205" s="15">
        <v>4</v>
      </c>
      <c r="G205" s="15">
        <v>3</v>
      </c>
      <c r="H205" s="15">
        <f t="shared" si="9"/>
        <v>1</v>
      </c>
      <c r="I205" s="15">
        <f t="shared" si="10"/>
        <v>1</v>
      </c>
      <c r="J205" s="16">
        <f t="shared" si="11"/>
        <v>0.25</v>
      </c>
      <c r="K205" s="17">
        <v>27.8</v>
      </c>
      <c r="L205" s="18">
        <v>0.33200000000000002</v>
      </c>
      <c r="M205" s="16">
        <v>0.98899999999999999</v>
      </c>
      <c r="N205" s="14" t="str">
        <f>IF(G205&gt;='Resumen Ejecutivo'!$C$8, "CRÍTICA", IF(G205&gt;='Resumen Ejecutivo'!$C$7, "TEMPRANA", "NORMAL"))</f>
        <v>NORMAL</v>
      </c>
    </row>
    <row r="206" spans="2:14" x14ac:dyDescent="0.25">
      <c r="B206" s="19">
        <v>202</v>
      </c>
      <c r="C206" s="19" t="s">
        <v>120</v>
      </c>
      <c r="D206" s="19" t="s">
        <v>121</v>
      </c>
      <c r="E206" s="19" t="s">
        <v>77</v>
      </c>
      <c r="F206" s="20">
        <v>3</v>
      </c>
      <c r="G206" s="20">
        <v>3</v>
      </c>
      <c r="H206" s="20">
        <f t="shared" si="9"/>
        <v>0</v>
      </c>
      <c r="I206" s="20">
        <f t="shared" si="10"/>
        <v>0</v>
      </c>
      <c r="J206" s="21">
        <f t="shared" si="11"/>
        <v>0</v>
      </c>
      <c r="K206" s="22">
        <v>26.9</v>
      </c>
      <c r="L206" s="23">
        <v>0.34799999999999998</v>
      </c>
      <c r="M206" s="21">
        <v>0.95699999999999996</v>
      </c>
      <c r="N206" s="19" t="str">
        <f>IF(G206&gt;='Resumen Ejecutivo'!$C$8, "CRÍTICA", IF(G206&gt;='Resumen Ejecutivo'!$C$7, "TEMPRANA", "NORMAL"))</f>
        <v>NORMAL</v>
      </c>
    </row>
    <row r="207" spans="2:14" x14ac:dyDescent="0.25">
      <c r="B207" s="14">
        <v>203</v>
      </c>
      <c r="C207" s="14" t="s">
        <v>120</v>
      </c>
      <c r="D207" s="14" t="s">
        <v>121</v>
      </c>
      <c r="E207" s="14" t="s">
        <v>78</v>
      </c>
      <c r="F207" s="15">
        <v>5</v>
      </c>
      <c r="G207" s="15">
        <v>5</v>
      </c>
      <c r="H207" s="15">
        <f t="shared" si="9"/>
        <v>0</v>
      </c>
      <c r="I207" s="15">
        <f t="shared" si="10"/>
        <v>0</v>
      </c>
      <c r="J207" s="16">
        <f t="shared" si="11"/>
        <v>0</v>
      </c>
      <c r="K207" s="17">
        <v>28.3</v>
      </c>
      <c r="L207" s="18">
        <v>0.34599999999999997</v>
      </c>
      <c r="M207" s="16">
        <v>0.97099999999999997</v>
      </c>
      <c r="N207" s="14" t="str">
        <f>IF(G207&gt;='Resumen Ejecutivo'!$C$8, "CRÍTICA", IF(G207&gt;='Resumen Ejecutivo'!$C$7, "TEMPRANA", "NORMAL"))</f>
        <v>NORMAL</v>
      </c>
    </row>
    <row r="208" spans="2:14" x14ac:dyDescent="0.25">
      <c r="B208" s="19">
        <v>204</v>
      </c>
      <c r="C208" s="19" t="s">
        <v>120</v>
      </c>
      <c r="D208" s="19" t="s">
        <v>121</v>
      </c>
      <c r="E208" s="19" t="s">
        <v>79</v>
      </c>
      <c r="F208" s="20">
        <v>5</v>
      </c>
      <c r="G208" s="20">
        <v>5</v>
      </c>
      <c r="H208" s="20">
        <f t="shared" si="9"/>
        <v>0</v>
      </c>
      <c r="I208" s="20">
        <f t="shared" si="10"/>
        <v>0</v>
      </c>
      <c r="J208" s="21">
        <f t="shared" si="11"/>
        <v>0</v>
      </c>
      <c r="K208" s="22">
        <v>27.1</v>
      </c>
      <c r="L208" s="23">
        <v>0.36899999999999999</v>
      </c>
      <c r="M208" s="21">
        <v>0.99399999999999999</v>
      </c>
      <c r="N208" s="19" t="str">
        <f>IF(G208&gt;='Resumen Ejecutivo'!$C$8, "CRÍTICA", IF(G208&gt;='Resumen Ejecutivo'!$C$7, "TEMPRANA", "NORMAL"))</f>
        <v>NORMAL</v>
      </c>
    </row>
    <row r="209" spans="2:14" x14ac:dyDescent="0.25">
      <c r="B209" s="14">
        <v>205</v>
      </c>
      <c r="C209" s="14" t="s">
        <v>120</v>
      </c>
      <c r="D209" s="14" t="s">
        <v>121</v>
      </c>
      <c r="E209" s="14" t="s">
        <v>80</v>
      </c>
      <c r="F209" s="15">
        <v>3</v>
      </c>
      <c r="G209" s="15">
        <v>3</v>
      </c>
      <c r="H209" s="15">
        <f t="shared" si="9"/>
        <v>0</v>
      </c>
      <c r="I209" s="15">
        <f t="shared" si="10"/>
        <v>0</v>
      </c>
      <c r="J209" s="16">
        <f t="shared" si="11"/>
        <v>0</v>
      </c>
      <c r="K209" s="17">
        <v>27.4</v>
      </c>
      <c r="L209" s="18">
        <v>0.35499999999999998</v>
      </c>
      <c r="M209" s="16">
        <v>0.96399999999999997</v>
      </c>
      <c r="N209" s="14" t="str">
        <f>IF(G209&gt;='Resumen Ejecutivo'!$C$8, "CRÍTICA", IF(G209&gt;='Resumen Ejecutivo'!$C$7, "TEMPRANA", "NORMAL"))</f>
        <v>NORMAL</v>
      </c>
    </row>
    <row r="210" spans="2:14" x14ac:dyDescent="0.25">
      <c r="B210" s="19">
        <v>206</v>
      </c>
      <c r="C210" s="19" t="s">
        <v>120</v>
      </c>
      <c r="D210" s="19" t="s">
        <v>121</v>
      </c>
      <c r="E210" s="19" t="s">
        <v>81</v>
      </c>
      <c r="F210" s="20">
        <v>2</v>
      </c>
      <c r="G210" s="20">
        <v>2</v>
      </c>
      <c r="H210" s="20">
        <f t="shared" si="9"/>
        <v>0</v>
      </c>
      <c r="I210" s="20">
        <f t="shared" si="10"/>
        <v>0</v>
      </c>
      <c r="J210" s="21">
        <f t="shared" si="11"/>
        <v>0</v>
      </c>
      <c r="K210" s="22">
        <v>27.1</v>
      </c>
      <c r="L210" s="23">
        <v>0.376</v>
      </c>
      <c r="M210" s="21">
        <v>0.997</v>
      </c>
      <c r="N210" s="19" t="str">
        <f>IF(G210&gt;='Resumen Ejecutivo'!$C$8, "CRÍTICA", IF(G210&gt;='Resumen Ejecutivo'!$C$7, "TEMPRANA", "NORMAL"))</f>
        <v>NORMAL</v>
      </c>
    </row>
    <row r="211" spans="2:14" x14ac:dyDescent="0.25">
      <c r="B211" s="14">
        <v>207</v>
      </c>
      <c r="C211" s="14" t="s">
        <v>120</v>
      </c>
      <c r="D211" s="14" t="s">
        <v>121</v>
      </c>
      <c r="E211" s="14" t="s">
        <v>82</v>
      </c>
      <c r="F211" s="15">
        <v>2</v>
      </c>
      <c r="G211" s="15">
        <v>2</v>
      </c>
      <c r="H211" s="15">
        <f t="shared" si="9"/>
        <v>0</v>
      </c>
      <c r="I211" s="15">
        <f t="shared" si="10"/>
        <v>0</v>
      </c>
      <c r="J211" s="16">
        <f t="shared" si="11"/>
        <v>0</v>
      </c>
      <c r="K211" s="17">
        <v>28.3</v>
      </c>
      <c r="L211" s="18">
        <v>0.34499999999999997</v>
      </c>
      <c r="M211" s="16">
        <v>0.99399999999999999</v>
      </c>
      <c r="N211" s="14" t="str">
        <f>IF(G211&gt;='Resumen Ejecutivo'!$C$8, "CRÍTICA", IF(G211&gt;='Resumen Ejecutivo'!$C$7, "TEMPRANA", "NORMAL"))</f>
        <v>NORMAL</v>
      </c>
    </row>
    <row r="212" spans="2:14" x14ac:dyDescent="0.25">
      <c r="B212" s="19">
        <v>208</v>
      </c>
      <c r="C212" s="19" t="s">
        <v>120</v>
      </c>
      <c r="D212" s="19" t="s">
        <v>121</v>
      </c>
      <c r="E212" s="19" t="s">
        <v>83</v>
      </c>
      <c r="F212" s="20">
        <v>5</v>
      </c>
      <c r="G212" s="20">
        <v>5</v>
      </c>
      <c r="H212" s="20">
        <f t="shared" si="9"/>
        <v>0</v>
      </c>
      <c r="I212" s="20">
        <f t="shared" si="10"/>
        <v>0</v>
      </c>
      <c r="J212" s="21">
        <f t="shared" si="11"/>
        <v>0</v>
      </c>
      <c r="K212" s="22">
        <v>28.1</v>
      </c>
      <c r="L212" s="23">
        <v>0.35299999999999998</v>
      </c>
      <c r="M212" s="21">
        <v>0.95399999999999996</v>
      </c>
      <c r="N212" s="19" t="str">
        <f>IF(G212&gt;='Resumen Ejecutivo'!$C$8, "CRÍTICA", IF(G212&gt;='Resumen Ejecutivo'!$C$7, "TEMPRANA", "NORMAL"))</f>
        <v>NORMAL</v>
      </c>
    </row>
    <row r="213" spans="2:14" x14ac:dyDescent="0.25">
      <c r="B213" s="14">
        <v>209</v>
      </c>
      <c r="C213" s="14" t="s">
        <v>120</v>
      </c>
      <c r="D213" s="14" t="s">
        <v>121</v>
      </c>
      <c r="E213" s="14" t="s">
        <v>84</v>
      </c>
      <c r="F213" s="15">
        <v>6</v>
      </c>
      <c r="G213" s="15">
        <v>6</v>
      </c>
      <c r="H213" s="15">
        <f t="shared" si="9"/>
        <v>0</v>
      </c>
      <c r="I213" s="15">
        <f t="shared" si="10"/>
        <v>0</v>
      </c>
      <c r="J213" s="16">
        <f t="shared" si="11"/>
        <v>0</v>
      </c>
      <c r="K213" s="17">
        <v>28</v>
      </c>
      <c r="L213" s="18">
        <v>0.34100000000000003</v>
      </c>
      <c r="M213" s="16">
        <v>0.98399999999999999</v>
      </c>
      <c r="N213" s="14" t="str">
        <f>IF(G213&gt;='Resumen Ejecutivo'!$C$8, "CRÍTICA", IF(G213&gt;='Resumen Ejecutivo'!$C$7, "TEMPRANA", "NORMAL"))</f>
        <v>NORMAL</v>
      </c>
    </row>
    <row r="214" spans="2:14" x14ac:dyDescent="0.25">
      <c r="B214" s="19">
        <v>210</v>
      </c>
      <c r="C214" s="19" t="s">
        <v>120</v>
      </c>
      <c r="D214" s="19" t="s">
        <v>121</v>
      </c>
      <c r="E214" s="19" t="s">
        <v>85</v>
      </c>
      <c r="F214" s="20">
        <v>3</v>
      </c>
      <c r="G214" s="20">
        <v>3</v>
      </c>
      <c r="H214" s="20">
        <f t="shared" si="9"/>
        <v>0</v>
      </c>
      <c r="I214" s="20">
        <f t="shared" si="10"/>
        <v>0</v>
      </c>
      <c r="J214" s="21">
        <f t="shared" si="11"/>
        <v>0</v>
      </c>
      <c r="K214" s="22">
        <v>27.9</v>
      </c>
      <c r="L214" s="23">
        <v>0.35</v>
      </c>
      <c r="M214" s="21">
        <v>0.99199999999999999</v>
      </c>
      <c r="N214" s="19" t="str">
        <f>IF(G214&gt;='Resumen Ejecutivo'!$C$8, "CRÍTICA", IF(G214&gt;='Resumen Ejecutivo'!$C$7, "TEMPRANA", "NORMAL"))</f>
        <v>NORMAL</v>
      </c>
    </row>
    <row r="215" spans="2:14" x14ac:dyDescent="0.25">
      <c r="B215" s="14">
        <v>211</v>
      </c>
      <c r="C215" s="14" t="s">
        <v>120</v>
      </c>
      <c r="D215" s="14" t="s">
        <v>121</v>
      </c>
      <c r="E215" s="14" t="s">
        <v>86</v>
      </c>
      <c r="F215" s="15">
        <v>6</v>
      </c>
      <c r="G215" s="15">
        <v>6</v>
      </c>
      <c r="H215" s="15">
        <f t="shared" si="9"/>
        <v>0</v>
      </c>
      <c r="I215" s="15">
        <f t="shared" si="10"/>
        <v>0</v>
      </c>
      <c r="J215" s="16">
        <f t="shared" si="11"/>
        <v>0</v>
      </c>
      <c r="K215" s="17">
        <v>27.7</v>
      </c>
      <c r="L215" s="18">
        <v>0.33500000000000002</v>
      </c>
      <c r="M215" s="16">
        <v>0.97</v>
      </c>
      <c r="N215" s="14" t="str">
        <f>IF(G215&gt;='Resumen Ejecutivo'!$C$8, "CRÍTICA", IF(G215&gt;='Resumen Ejecutivo'!$C$7, "TEMPRANA", "NORMAL"))</f>
        <v>NORMAL</v>
      </c>
    </row>
    <row r="216" spans="2:14" x14ac:dyDescent="0.25">
      <c r="B216" s="19">
        <v>212</v>
      </c>
      <c r="C216" s="19" t="s">
        <v>120</v>
      </c>
      <c r="D216" s="19" t="s">
        <v>121</v>
      </c>
      <c r="E216" s="19" t="s">
        <v>87</v>
      </c>
      <c r="F216" s="20">
        <v>7</v>
      </c>
      <c r="G216" s="20">
        <v>7</v>
      </c>
      <c r="H216" s="20">
        <f t="shared" si="9"/>
        <v>0</v>
      </c>
      <c r="I216" s="20">
        <f t="shared" si="10"/>
        <v>0</v>
      </c>
      <c r="J216" s="21">
        <f t="shared" si="11"/>
        <v>0</v>
      </c>
      <c r="K216" s="22">
        <v>27.2</v>
      </c>
      <c r="L216" s="23">
        <v>0.33600000000000002</v>
      </c>
      <c r="M216" s="21">
        <v>0.96799999999999997</v>
      </c>
      <c r="N216" s="19" t="str">
        <f>IF(G216&gt;='Resumen Ejecutivo'!$C$8, "CRÍTICA", IF(G216&gt;='Resumen Ejecutivo'!$C$7, "TEMPRANA", "NORMAL"))</f>
        <v>NORMAL</v>
      </c>
    </row>
    <row r="217" spans="2:14" x14ac:dyDescent="0.25">
      <c r="B217" s="14">
        <v>213</v>
      </c>
      <c r="C217" s="14" t="s">
        <v>120</v>
      </c>
      <c r="D217" s="14" t="s">
        <v>121</v>
      </c>
      <c r="E217" s="14" t="s">
        <v>88</v>
      </c>
      <c r="F217" s="15">
        <v>7</v>
      </c>
      <c r="G217" s="15">
        <v>7</v>
      </c>
      <c r="H217" s="15">
        <f t="shared" si="9"/>
        <v>0</v>
      </c>
      <c r="I217" s="15">
        <f t="shared" si="10"/>
        <v>0</v>
      </c>
      <c r="J217" s="16">
        <f t="shared" si="11"/>
        <v>0</v>
      </c>
      <c r="K217" s="17">
        <v>28</v>
      </c>
      <c r="L217" s="18">
        <v>0.34300000000000003</v>
      </c>
      <c r="M217" s="16">
        <v>0.96899999999999997</v>
      </c>
      <c r="N217" s="14" t="str">
        <f>IF(G217&gt;='Resumen Ejecutivo'!$C$8, "CRÍTICA", IF(G217&gt;='Resumen Ejecutivo'!$C$7, "TEMPRANA", "NORMAL"))</f>
        <v>NORMAL</v>
      </c>
    </row>
    <row r="218" spans="2:14" x14ac:dyDescent="0.25">
      <c r="B218" s="19">
        <v>214</v>
      </c>
      <c r="C218" s="19" t="s">
        <v>120</v>
      </c>
      <c r="D218" s="19" t="s">
        <v>121</v>
      </c>
      <c r="E218" s="19" t="s">
        <v>89</v>
      </c>
      <c r="F218" s="20">
        <v>6</v>
      </c>
      <c r="G218" s="20">
        <v>6</v>
      </c>
      <c r="H218" s="20">
        <f t="shared" si="9"/>
        <v>0</v>
      </c>
      <c r="I218" s="20">
        <f t="shared" si="10"/>
        <v>0</v>
      </c>
      <c r="J218" s="21">
        <f t="shared" si="11"/>
        <v>0</v>
      </c>
      <c r="K218" s="22">
        <v>27.8</v>
      </c>
      <c r="L218" s="23">
        <v>0.34899999999999998</v>
      </c>
      <c r="M218" s="21">
        <v>0.98399999999999999</v>
      </c>
      <c r="N218" s="19" t="str">
        <f>IF(G218&gt;='Resumen Ejecutivo'!$C$8, "CRÍTICA", IF(G218&gt;='Resumen Ejecutivo'!$C$7, "TEMPRANA", "NORMAL"))</f>
        <v>NORMAL</v>
      </c>
    </row>
    <row r="219" spans="2:14" x14ac:dyDescent="0.25">
      <c r="B219" s="14">
        <v>215</v>
      </c>
      <c r="C219" s="14" t="s">
        <v>120</v>
      </c>
      <c r="D219" s="14" t="s">
        <v>121</v>
      </c>
      <c r="E219" s="14" t="s">
        <v>90</v>
      </c>
      <c r="F219" s="15">
        <v>4</v>
      </c>
      <c r="G219" s="15">
        <v>4</v>
      </c>
      <c r="H219" s="15">
        <f t="shared" si="9"/>
        <v>0</v>
      </c>
      <c r="I219" s="15">
        <f t="shared" si="10"/>
        <v>0</v>
      </c>
      <c r="J219" s="16">
        <f t="shared" si="11"/>
        <v>0</v>
      </c>
      <c r="K219" s="17">
        <v>27.6</v>
      </c>
      <c r="L219" s="18">
        <v>0.36099999999999999</v>
      </c>
      <c r="M219" s="16">
        <v>0.997</v>
      </c>
      <c r="N219" s="14" t="str">
        <f>IF(G219&gt;='Resumen Ejecutivo'!$C$8, "CRÍTICA", IF(G219&gt;='Resumen Ejecutivo'!$C$7, "TEMPRANA", "NORMAL"))</f>
        <v>NORMAL</v>
      </c>
    </row>
    <row r="220" spans="2:14" x14ac:dyDescent="0.25">
      <c r="B220" s="19">
        <v>216</v>
      </c>
      <c r="C220" s="19" t="s">
        <v>120</v>
      </c>
      <c r="D220" s="19" t="s">
        <v>121</v>
      </c>
      <c r="E220" s="19" t="s">
        <v>91</v>
      </c>
      <c r="F220" s="20">
        <v>6</v>
      </c>
      <c r="G220" s="20">
        <v>7</v>
      </c>
      <c r="H220" s="20">
        <f t="shared" si="9"/>
        <v>1</v>
      </c>
      <c r="I220" s="20">
        <f t="shared" si="10"/>
        <v>1</v>
      </c>
      <c r="J220" s="21">
        <f t="shared" si="11"/>
        <v>0.16666666666666666</v>
      </c>
      <c r="K220" s="22">
        <v>27.3</v>
      </c>
      <c r="L220" s="23">
        <v>0.36099999999999999</v>
      </c>
      <c r="M220" s="21">
        <v>0.98199999999999998</v>
      </c>
      <c r="N220" s="19" t="str">
        <f>IF(G220&gt;='Resumen Ejecutivo'!$C$8, "CRÍTICA", IF(G220&gt;='Resumen Ejecutivo'!$C$7, "TEMPRANA", "NORMAL"))</f>
        <v>NORMAL</v>
      </c>
    </row>
    <row r="221" spans="2:14" x14ac:dyDescent="0.25">
      <c r="B221" s="14">
        <v>217</v>
      </c>
      <c r="C221" s="14" t="s">
        <v>120</v>
      </c>
      <c r="D221" s="14" t="s">
        <v>121</v>
      </c>
      <c r="E221" s="14" t="s">
        <v>92</v>
      </c>
      <c r="F221" s="15">
        <v>9</v>
      </c>
      <c r="G221" s="15">
        <v>9</v>
      </c>
      <c r="H221" s="15">
        <f t="shared" si="9"/>
        <v>0</v>
      </c>
      <c r="I221" s="15">
        <f t="shared" si="10"/>
        <v>0</v>
      </c>
      <c r="J221" s="16">
        <f t="shared" si="11"/>
        <v>0</v>
      </c>
      <c r="K221" s="17">
        <v>27.8</v>
      </c>
      <c r="L221" s="18">
        <v>0.35299999999999998</v>
      </c>
      <c r="M221" s="16">
        <v>0.98499999999999999</v>
      </c>
      <c r="N221" s="14" t="str">
        <f>IF(G221&gt;='Resumen Ejecutivo'!$C$8, "CRÍTICA", IF(G221&gt;='Resumen Ejecutivo'!$C$7, "TEMPRANA", "NORMAL"))</f>
        <v>NORMAL</v>
      </c>
    </row>
    <row r="222" spans="2:14" x14ac:dyDescent="0.25">
      <c r="B222" s="19">
        <v>218</v>
      </c>
      <c r="C222" s="19" t="s">
        <v>120</v>
      </c>
      <c r="D222" s="19" t="s">
        <v>121</v>
      </c>
      <c r="E222" s="19" t="s">
        <v>93</v>
      </c>
      <c r="F222" s="20">
        <v>8</v>
      </c>
      <c r="G222" s="20">
        <v>8</v>
      </c>
      <c r="H222" s="20">
        <f t="shared" si="9"/>
        <v>0</v>
      </c>
      <c r="I222" s="20">
        <f t="shared" si="10"/>
        <v>0</v>
      </c>
      <c r="J222" s="21">
        <f t="shared" si="11"/>
        <v>0</v>
      </c>
      <c r="K222" s="22">
        <v>27.8</v>
      </c>
      <c r="L222" s="23">
        <v>0.33600000000000002</v>
      </c>
      <c r="M222" s="21">
        <v>0.95199999999999996</v>
      </c>
      <c r="N222" s="19" t="str">
        <f>IF(G222&gt;='Resumen Ejecutivo'!$C$8, "CRÍTICA", IF(G222&gt;='Resumen Ejecutivo'!$C$7, "TEMPRANA", "NORMAL"))</f>
        <v>NORMAL</v>
      </c>
    </row>
    <row r="223" spans="2:14" x14ac:dyDescent="0.25">
      <c r="B223" s="14">
        <v>219</v>
      </c>
      <c r="C223" s="14" t="s">
        <v>120</v>
      </c>
      <c r="D223" s="14" t="s">
        <v>121</v>
      </c>
      <c r="E223" s="14" t="s">
        <v>94</v>
      </c>
      <c r="F223" s="15">
        <v>5</v>
      </c>
      <c r="G223" s="15">
        <v>5</v>
      </c>
      <c r="H223" s="15">
        <f t="shared" si="9"/>
        <v>0</v>
      </c>
      <c r="I223" s="15">
        <f t="shared" si="10"/>
        <v>0</v>
      </c>
      <c r="J223" s="16">
        <f t="shared" si="11"/>
        <v>0</v>
      </c>
      <c r="K223" s="17">
        <v>26.9</v>
      </c>
      <c r="L223" s="18">
        <v>0.38</v>
      </c>
      <c r="M223" s="16">
        <v>0.95599999999999996</v>
      </c>
      <c r="N223" s="14" t="str">
        <f>IF(G223&gt;='Resumen Ejecutivo'!$C$8, "CRÍTICA", IF(G223&gt;='Resumen Ejecutivo'!$C$7, "TEMPRANA", "NORMAL"))</f>
        <v>NORMAL</v>
      </c>
    </row>
    <row r="224" spans="2:14" x14ac:dyDescent="0.25">
      <c r="B224" s="19">
        <v>220</v>
      </c>
      <c r="C224" s="19" t="s">
        <v>120</v>
      </c>
      <c r="D224" s="19" t="s">
        <v>121</v>
      </c>
      <c r="E224" s="19" t="s">
        <v>95</v>
      </c>
      <c r="F224" s="20">
        <v>6</v>
      </c>
      <c r="G224" s="20">
        <v>6</v>
      </c>
      <c r="H224" s="20">
        <f t="shared" si="9"/>
        <v>0</v>
      </c>
      <c r="I224" s="20">
        <f t="shared" si="10"/>
        <v>0</v>
      </c>
      <c r="J224" s="21">
        <f t="shared" si="11"/>
        <v>0</v>
      </c>
      <c r="K224" s="22">
        <v>27.2</v>
      </c>
      <c r="L224" s="23">
        <v>0.35699999999999998</v>
      </c>
      <c r="M224" s="21">
        <v>0.96899999999999997</v>
      </c>
      <c r="N224" s="19" t="str">
        <f>IF(G224&gt;='Resumen Ejecutivo'!$C$8, "CRÍTICA", IF(G224&gt;='Resumen Ejecutivo'!$C$7, "TEMPRANA", "NORMAL"))</f>
        <v>NORMAL</v>
      </c>
    </row>
    <row r="225" spans="2:14" x14ac:dyDescent="0.25">
      <c r="B225" s="14">
        <v>221</v>
      </c>
      <c r="C225" s="14" t="s">
        <v>120</v>
      </c>
      <c r="D225" s="14" t="s">
        <v>121</v>
      </c>
      <c r="E225" s="14" t="s">
        <v>96</v>
      </c>
      <c r="F225" s="15">
        <v>7</v>
      </c>
      <c r="G225" s="15">
        <v>7</v>
      </c>
      <c r="H225" s="15">
        <f t="shared" si="9"/>
        <v>0</v>
      </c>
      <c r="I225" s="15">
        <f t="shared" si="10"/>
        <v>0</v>
      </c>
      <c r="J225" s="16">
        <f t="shared" si="11"/>
        <v>0</v>
      </c>
      <c r="K225" s="17">
        <v>27.4</v>
      </c>
      <c r="L225" s="18">
        <v>0.377</v>
      </c>
      <c r="M225" s="16">
        <v>0.98499999999999999</v>
      </c>
      <c r="N225" s="14" t="str">
        <f>IF(G225&gt;='Resumen Ejecutivo'!$C$8, "CRÍTICA", IF(G225&gt;='Resumen Ejecutivo'!$C$7, "TEMPRANA", "NORMAL"))</f>
        <v>NORMAL</v>
      </c>
    </row>
    <row r="226" spans="2:14" x14ac:dyDescent="0.25">
      <c r="B226" s="19">
        <v>222</v>
      </c>
      <c r="C226" s="19" t="s">
        <v>120</v>
      </c>
      <c r="D226" s="19" t="s">
        <v>121</v>
      </c>
      <c r="E226" s="19" t="s">
        <v>97</v>
      </c>
      <c r="F226" s="20">
        <v>8</v>
      </c>
      <c r="G226" s="20">
        <v>8</v>
      </c>
      <c r="H226" s="20">
        <f t="shared" si="9"/>
        <v>0</v>
      </c>
      <c r="I226" s="20">
        <f t="shared" si="10"/>
        <v>0</v>
      </c>
      <c r="J226" s="21">
        <f t="shared" si="11"/>
        <v>0</v>
      </c>
      <c r="K226" s="22">
        <v>27.7</v>
      </c>
      <c r="L226" s="23">
        <v>0.35899999999999999</v>
      </c>
      <c r="M226" s="21">
        <v>0.98599999999999999</v>
      </c>
      <c r="N226" s="19" t="str">
        <f>IF(G226&gt;='Resumen Ejecutivo'!$C$8, "CRÍTICA", IF(G226&gt;='Resumen Ejecutivo'!$C$7, "TEMPRANA", "NORMAL"))</f>
        <v>NORMAL</v>
      </c>
    </row>
    <row r="227" spans="2:14" x14ac:dyDescent="0.25">
      <c r="B227" s="14">
        <v>223</v>
      </c>
      <c r="C227" s="14" t="s">
        <v>120</v>
      </c>
      <c r="D227" s="14" t="s">
        <v>121</v>
      </c>
      <c r="E227" s="14" t="s">
        <v>98</v>
      </c>
      <c r="F227" s="15">
        <v>7</v>
      </c>
      <c r="G227" s="15">
        <v>7</v>
      </c>
      <c r="H227" s="15">
        <f t="shared" si="9"/>
        <v>0</v>
      </c>
      <c r="I227" s="15">
        <f t="shared" si="10"/>
        <v>0</v>
      </c>
      <c r="J227" s="16">
        <f t="shared" si="11"/>
        <v>0</v>
      </c>
      <c r="K227" s="17">
        <v>28.2</v>
      </c>
      <c r="L227" s="18">
        <v>0.36299999999999999</v>
      </c>
      <c r="M227" s="16">
        <v>0.99199999999999999</v>
      </c>
      <c r="N227" s="14" t="str">
        <f>IF(G227&gt;='Resumen Ejecutivo'!$C$8, "CRÍTICA", IF(G227&gt;='Resumen Ejecutivo'!$C$7, "TEMPRANA", "NORMAL"))</f>
        <v>NORMAL</v>
      </c>
    </row>
    <row r="228" spans="2:14" x14ac:dyDescent="0.25">
      <c r="B228" s="19">
        <v>224</v>
      </c>
      <c r="C228" s="19" t="s">
        <v>120</v>
      </c>
      <c r="D228" s="19" t="s">
        <v>121</v>
      </c>
      <c r="E228" s="19" t="s">
        <v>99</v>
      </c>
      <c r="F228" s="20">
        <v>11</v>
      </c>
      <c r="G228" s="20">
        <v>12</v>
      </c>
      <c r="H228" s="20">
        <f t="shared" si="9"/>
        <v>1</v>
      </c>
      <c r="I228" s="20">
        <f t="shared" si="10"/>
        <v>1</v>
      </c>
      <c r="J228" s="21">
        <f t="shared" si="11"/>
        <v>9.0909090909090912E-2</v>
      </c>
      <c r="K228" s="22">
        <v>27.8</v>
      </c>
      <c r="L228" s="23">
        <v>0.377</v>
      </c>
      <c r="M228" s="21">
        <v>0.96399999999999997</v>
      </c>
      <c r="N228" s="19" t="str">
        <f>IF(G228&gt;='Resumen Ejecutivo'!$C$8, "CRÍTICA", IF(G228&gt;='Resumen Ejecutivo'!$C$7, "TEMPRANA", "NORMAL"))</f>
        <v>NORMAL</v>
      </c>
    </row>
    <row r="229" spans="2:14" x14ac:dyDescent="0.25">
      <c r="B229" s="14">
        <v>225</v>
      </c>
      <c r="C229" s="14" t="s">
        <v>120</v>
      </c>
      <c r="D229" s="14" t="s">
        <v>121</v>
      </c>
      <c r="E229" s="14" t="s">
        <v>100</v>
      </c>
      <c r="F229" s="15">
        <v>5</v>
      </c>
      <c r="G229" s="15">
        <v>5</v>
      </c>
      <c r="H229" s="15">
        <f t="shared" si="9"/>
        <v>0</v>
      </c>
      <c r="I229" s="15">
        <f t="shared" si="10"/>
        <v>0</v>
      </c>
      <c r="J229" s="16">
        <f t="shared" si="11"/>
        <v>0</v>
      </c>
      <c r="K229" s="17">
        <v>27.9</v>
      </c>
      <c r="L229" s="18">
        <v>0.34100000000000003</v>
      </c>
      <c r="M229" s="16">
        <v>0.97199999999999998</v>
      </c>
      <c r="N229" s="14" t="str">
        <f>IF(G229&gt;='Resumen Ejecutivo'!$C$8, "CRÍTICA", IF(G229&gt;='Resumen Ejecutivo'!$C$7, "TEMPRANA", "NORMAL"))</f>
        <v>NORMAL</v>
      </c>
    </row>
    <row r="230" spans="2:14" x14ac:dyDescent="0.25">
      <c r="B230" s="19">
        <v>226</v>
      </c>
      <c r="C230" s="19" t="s">
        <v>120</v>
      </c>
      <c r="D230" s="19" t="s">
        <v>121</v>
      </c>
      <c r="E230" s="19" t="s">
        <v>101</v>
      </c>
      <c r="F230" s="20">
        <v>1</v>
      </c>
      <c r="G230" s="20">
        <v>1</v>
      </c>
      <c r="H230" s="20">
        <f t="shared" si="9"/>
        <v>0</v>
      </c>
      <c r="I230" s="20">
        <f t="shared" si="10"/>
        <v>0</v>
      </c>
      <c r="J230" s="21">
        <f t="shared" si="11"/>
        <v>0</v>
      </c>
      <c r="K230" s="22">
        <v>27.2</v>
      </c>
      <c r="L230" s="23">
        <v>0.34799999999999998</v>
      </c>
      <c r="M230" s="21">
        <v>0.999</v>
      </c>
      <c r="N230" s="19" t="str">
        <f>IF(G230&gt;='Resumen Ejecutivo'!$C$8, "CRÍTICA", IF(G230&gt;='Resumen Ejecutivo'!$C$7, "TEMPRANA", "NORMAL"))</f>
        <v>NORMAL</v>
      </c>
    </row>
    <row r="231" spans="2:14" x14ac:dyDescent="0.25">
      <c r="B231" s="14">
        <v>227</v>
      </c>
      <c r="C231" s="14" t="s">
        <v>120</v>
      </c>
      <c r="D231" s="14" t="s">
        <v>121</v>
      </c>
      <c r="E231" s="14" t="s">
        <v>102</v>
      </c>
      <c r="F231" s="15">
        <v>4</v>
      </c>
      <c r="G231" s="15">
        <v>4</v>
      </c>
      <c r="H231" s="15">
        <f t="shared" si="9"/>
        <v>0</v>
      </c>
      <c r="I231" s="15">
        <f t="shared" si="10"/>
        <v>0</v>
      </c>
      <c r="J231" s="16">
        <f t="shared" si="11"/>
        <v>0</v>
      </c>
      <c r="K231" s="17">
        <v>27.4</v>
      </c>
      <c r="L231" s="18">
        <v>0.375</v>
      </c>
      <c r="M231" s="16">
        <v>0.98199999999999998</v>
      </c>
      <c r="N231" s="14" t="str">
        <f>IF(G231&gt;='Resumen Ejecutivo'!$C$8, "CRÍTICA", IF(G231&gt;='Resumen Ejecutivo'!$C$7, "TEMPRANA", "NORMAL"))</f>
        <v>NORMAL</v>
      </c>
    </row>
    <row r="232" spans="2:14" x14ac:dyDescent="0.25">
      <c r="B232" s="19">
        <v>228</v>
      </c>
      <c r="C232" s="19" t="s">
        <v>120</v>
      </c>
      <c r="D232" s="19" t="s">
        <v>121</v>
      </c>
      <c r="E232" s="19" t="s">
        <v>103</v>
      </c>
      <c r="F232" s="20">
        <v>1</v>
      </c>
      <c r="G232" s="20">
        <v>1</v>
      </c>
      <c r="H232" s="20">
        <f t="shared" si="9"/>
        <v>0</v>
      </c>
      <c r="I232" s="20">
        <f t="shared" si="10"/>
        <v>0</v>
      </c>
      <c r="J232" s="21">
        <f t="shared" si="11"/>
        <v>0</v>
      </c>
      <c r="K232" s="22">
        <v>26.9</v>
      </c>
      <c r="L232" s="23">
        <v>0.34399999999999997</v>
      </c>
      <c r="M232" s="21">
        <v>0.998</v>
      </c>
      <c r="N232" s="19" t="str">
        <f>IF(G232&gt;='Resumen Ejecutivo'!$C$8, "CRÍTICA", IF(G232&gt;='Resumen Ejecutivo'!$C$7, "TEMPRANA", "NORMAL"))</f>
        <v>NORMAL</v>
      </c>
    </row>
    <row r="233" spans="2:14" x14ac:dyDescent="0.25">
      <c r="B233" s="14">
        <v>229</v>
      </c>
      <c r="C233" s="14" t="s">
        <v>120</v>
      </c>
      <c r="D233" s="14" t="s">
        <v>121</v>
      </c>
      <c r="E233" s="14" t="s">
        <v>104</v>
      </c>
      <c r="F233" s="15">
        <v>2</v>
      </c>
      <c r="G233" s="15">
        <v>2</v>
      </c>
      <c r="H233" s="15">
        <f t="shared" si="9"/>
        <v>0</v>
      </c>
      <c r="I233" s="15">
        <f t="shared" si="10"/>
        <v>0</v>
      </c>
      <c r="J233" s="16">
        <f t="shared" si="11"/>
        <v>0</v>
      </c>
      <c r="K233" s="17">
        <v>28.3</v>
      </c>
      <c r="L233" s="18">
        <v>0.371</v>
      </c>
      <c r="M233" s="16">
        <v>0.95499999999999996</v>
      </c>
      <c r="N233" s="14" t="str">
        <f>IF(G233&gt;='Resumen Ejecutivo'!$C$8, "CRÍTICA", IF(G233&gt;='Resumen Ejecutivo'!$C$7, "TEMPRANA", "NORMAL"))</f>
        <v>NORMAL</v>
      </c>
    </row>
    <row r="234" spans="2:14" x14ac:dyDescent="0.25">
      <c r="B234" s="19">
        <v>230</v>
      </c>
      <c r="C234" s="19" t="s">
        <v>120</v>
      </c>
      <c r="D234" s="19" t="s">
        <v>121</v>
      </c>
      <c r="E234" s="19" t="s">
        <v>105</v>
      </c>
      <c r="F234" s="20">
        <v>1</v>
      </c>
      <c r="G234" s="20">
        <v>0</v>
      </c>
      <c r="H234" s="20">
        <f t="shared" si="9"/>
        <v>1</v>
      </c>
      <c r="I234" s="20">
        <f t="shared" si="10"/>
        <v>1</v>
      </c>
      <c r="J234" s="21">
        <f t="shared" si="11"/>
        <v>1</v>
      </c>
      <c r="K234" s="22">
        <v>27.1</v>
      </c>
      <c r="L234" s="23">
        <v>0.36199999999999999</v>
      </c>
      <c r="M234" s="21">
        <v>0.999</v>
      </c>
      <c r="N234" s="19" t="str">
        <f>IF(G234&gt;='Resumen Ejecutivo'!$C$8, "CRÍTICA", IF(G234&gt;='Resumen Ejecutivo'!$C$7, "TEMPRANA", "NORMAL"))</f>
        <v>NORMAL</v>
      </c>
    </row>
    <row r="235" spans="2:14" x14ac:dyDescent="0.25">
      <c r="B235" s="14">
        <v>231</v>
      </c>
      <c r="C235" s="14" t="s">
        <v>120</v>
      </c>
      <c r="D235" s="14" t="s">
        <v>121</v>
      </c>
      <c r="E235" s="14" t="s">
        <v>106</v>
      </c>
      <c r="F235" s="15">
        <v>1</v>
      </c>
      <c r="G235" s="15">
        <v>1</v>
      </c>
      <c r="H235" s="15">
        <f t="shared" si="9"/>
        <v>0</v>
      </c>
      <c r="I235" s="15">
        <f t="shared" si="10"/>
        <v>0</v>
      </c>
      <c r="J235" s="16">
        <f t="shared" si="11"/>
        <v>0</v>
      </c>
      <c r="K235" s="17">
        <v>26.9</v>
      </c>
      <c r="L235" s="18">
        <v>0.34699999999999998</v>
      </c>
      <c r="M235" s="16">
        <v>0.999</v>
      </c>
      <c r="N235" s="14" t="str">
        <f>IF(G235&gt;='Resumen Ejecutivo'!$C$8, "CRÍTICA", IF(G235&gt;='Resumen Ejecutivo'!$C$7, "TEMPRANA", "NORMAL"))</f>
        <v>NORMAL</v>
      </c>
    </row>
    <row r="236" spans="2:14" x14ac:dyDescent="0.25">
      <c r="B236" s="19">
        <v>232</v>
      </c>
      <c r="C236" s="19" t="s">
        <v>120</v>
      </c>
      <c r="D236" s="19" t="s">
        <v>121</v>
      </c>
      <c r="E236" s="19" t="s">
        <v>107</v>
      </c>
      <c r="F236" s="20">
        <v>2</v>
      </c>
      <c r="G236" s="20">
        <v>2</v>
      </c>
      <c r="H236" s="20">
        <f t="shared" si="9"/>
        <v>0</v>
      </c>
      <c r="I236" s="20">
        <f t="shared" si="10"/>
        <v>0</v>
      </c>
      <c r="J236" s="21">
        <f t="shared" si="11"/>
        <v>0</v>
      </c>
      <c r="K236" s="22">
        <v>28.1</v>
      </c>
      <c r="L236" s="23">
        <v>0.34</v>
      </c>
      <c r="M236" s="21">
        <v>0.99099999999999999</v>
      </c>
      <c r="N236" s="19" t="str">
        <f>IF(G236&gt;='Resumen Ejecutivo'!$C$8, "CRÍTICA", IF(G236&gt;='Resumen Ejecutivo'!$C$7, "TEMPRANA", "NORMAL"))</f>
        <v>NORMAL</v>
      </c>
    </row>
    <row r="237" spans="2:14" x14ac:dyDescent="0.25">
      <c r="B237" s="14">
        <v>233</v>
      </c>
      <c r="C237" s="14" t="s">
        <v>120</v>
      </c>
      <c r="D237" s="14" t="s">
        <v>121</v>
      </c>
      <c r="E237" s="14" t="s">
        <v>108</v>
      </c>
      <c r="F237" s="15">
        <v>2</v>
      </c>
      <c r="G237" s="15">
        <v>2</v>
      </c>
      <c r="H237" s="15">
        <f t="shared" si="9"/>
        <v>0</v>
      </c>
      <c r="I237" s="15">
        <f t="shared" si="10"/>
        <v>0</v>
      </c>
      <c r="J237" s="16">
        <f t="shared" si="11"/>
        <v>0</v>
      </c>
      <c r="K237" s="17">
        <v>27.7</v>
      </c>
      <c r="L237" s="18">
        <v>0.35899999999999999</v>
      </c>
      <c r="M237" s="16">
        <v>0.99099999999999999</v>
      </c>
      <c r="N237" s="14" t="str">
        <f>IF(G237&gt;='Resumen Ejecutivo'!$C$8, "CRÍTICA", IF(G237&gt;='Resumen Ejecutivo'!$C$7, "TEMPRANA", "NORMAL"))</f>
        <v>NORMAL</v>
      </c>
    </row>
    <row r="238" spans="2:14" x14ac:dyDescent="0.25">
      <c r="B238" s="19">
        <v>234</v>
      </c>
      <c r="C238" s="19" t="s">
        <v>120</v>
      </c>
      <c r="D238" s="19" t="s">
        <v>121</v>
      </c>
      <c r="E238" s="19" t="s">
        <v>109</v>
      </c>
      <c r="F238" s="20">
        <v>2</v>
      </c>
      <c r="G238" s="20">
        <v>2</v>
      </c>
      <c r="H238" s="20">
        <f t="shared" si="9"/>
        <v>0</v>
      </c>
      <c r="I238" s="20">
        <f t="shared" si="10"/>
        <v>0</v>
      </c>
      <c r="J238" s="21">
        <f t="shared" si="11"/>
        <v>0</v>
      </c>
      <c r="K238" s="22">
        <v>27.2</v>
      </c>
      <c r="L238" s="23">
        <v>0.36899999999999999</v>
      </c>
      <c r="M238" s="21">
        <v>0.98899999999999999</v>
      </c>
      <c r="N238" s="19" t="str">
        <f>IF(G238&gt;='Resumen Ejecutivo'!$C$8, "CRÍTICA", IF(G238&gt;='Resumen Ejecutivo'!$C$7, "TEMPRANA", "NORMAL"))</f>
        <v>NORMAL</v>
      </c>
    </row>
    <row r="239" spans="2:14" x14ac:dyDescent="0.25">
      <c r="B239" s="14">
        <v>235</v>
      </c>
      <c r="C239" s="14" t="s">
        <v>120</v>
      </c>
      <c r="D239" s="14" t="s">
        <v>121</v>
      </c>
      <c r="E239" s="14" t="s">
        <v>110</v>
      </c>
      <c r="F239" s="15">
        <v>1</v>
      </c>
      <c r="G239" s="15">
        <v>1</v>
      </c>
      <c r="H239" s="15">
        <f t="shared" si="9"/>
        <v>0</v>
      </c>
      <c r="I239" s="15">
        <f t="shared" si="10"/>
        <v>0</v>
      </c>
      <c r="J239" s="16">
        <f t="shared" si="11"/>
        <v>0</v>
      </c>
      <c r="K239" s="17">
        <v>27.8</v>
      </c>
      <c r="L239" s="18">
        <v>0.34399999999999997</v>
      </c>
      <c r="M239" s="16">
        <v>0.999</v>
      </c>
      <c r="N239" s="14" t="str">
        <f>IF(G239&gt;='Resumen Ejecutivo'!$C$8, "CRÍTICA", IF(G239&gt;='Resumen Ejecutivo'!$C$7, "TEMPRANA", "NORMAL"))</f>
        <v>NORMAL</v>
      </c>
    </row>
    <row r="240" spans="2:14" x14ac:dyDescent="0.25">
      <c r="B240" s="19">
        <v>236</v>
      </c>
      <c r="C240" s="19" t="s">
        <v>120</v>
      </c>
      <c r="D240" s="19" t="s">
        <v>121</v>
      </c>
      <c r="E240" s="19" t="s">
        <v>111</v>
      </c>
      <c r="F240" s="20">
        <v>5</v>
      </c>
      <c r="G240" s="20">
        <v>5</v>
      </c>
      <c r="H240" s="20">
        <f t="shared" si="9"/>
        <v>0</v>
      </c>
      <c r="I240" s="20">
        <f t="shared" si="10"/>
        <v>0</v>
      </c>
      <c r="J240" s="21">
        <f t="shared" si="11"/>
        <v>0</v>
      </c>
      <c r="K240" s="22">
        <v>28.4</v>
      </c>
      <c r="L240" s="23">
        <v>0.35699999999999998</v>
      </c>
      <c r="M240" s="21">
        <v>0.99</v>
      </c>
      <c r="N240" s="19" t="str">
        <f>IF(G240&gt;='Resumen Ejecutivo'!$C$8, "CRÍTICA", IF(G240&gt;='Resumen Ejecutivo'!$C$7, "TEMPRANA", "NORMAL"))</f>
        <v>NORMAL</v>
      </c>
    </row>
    <row r="241" spans="2:14" x14ac:dyDescent="0.25">
      <c r="B241" s="14">
        <v>237</v>
      </c>
      <c r="C241" s="14" t="s">
        <v>120</v>
      </c>
      <c r="D241" s="14" t="s">
        <v>121</v>
      </c>
      <c r="E241" s="14" t="s">
        <v>112</v>
      </c>
      <c r="F241" s="15">
        <v>4</v>
      </c>
      <c r="G241" s="15">
        <v>4</v>
      </c>
      <c r="H241" s="15">
        <f t="shared" si="9"/>
        <v>0</v>
      </c>
      <c r="I241" s="15">
        <f t="shared" si="10"/>
        <v>0</v>
      </c>
      <c r="J241" s="16">
        <f t="shared" si="11"/>
        <v>0</v>
      </c>
      <c r="K241" s="17">
        <v>27</v>
      </c>
      <c r="L241" s="18">
        <v>0.373</v>
      </c>
      <c r="M241" s="16">
        <v>0.95699999999999996</v>
      </c>
      <c r="N241" s="14" t="str">
        <f>IF(G241&gt;='Resumen Ejecutivo'!$C$8, "CRÍTICA", IF(G241&gt;='Resumen Ejecutivo'!$C$7, "TEMPRANA", "NORMAL"))</f>
        <v>NORMAL</v>
      </c>
    </row>
    <row r="242" spans="2:14" x14ac:dyDescent="0.25">
      <c r="B242" s="19">
        <v>238</v>
      </c>
      <c r="C242" s="19" t="s">
        <v>120</v>
      </c>
      <c r="D242" s="19" t="s">
        <v>121</v>
      </c>
      <c r="E242" s="19" t="s">
        <v>113</v>
      </c>
      <c r="F242" s="20">
        <v>2</v>
      </c>
      <c r="G242" s="20">
        <v>2</v>
      </c>
      <c r="H242" s="20">
        <f t="shared" si="9"/>
        <v>0</v>
      </c>
      <c r="I242" s="20">
        <f t="shared" si="10"/>
        <v>0</v>
      </c>
      <c r="J242" s="21">
        <f t="shared" si="11"/>
        <v>0</v>
      </c>
      <c r="K242" s="22">
        <v>27.4</v>
      </c>
      <c r="L242" s="23">
        <v>0.36899999999999999</v>
      </c>
      <c r="M242" s="21">
        <v>0.97899999999999998</v>
      </c>
      <c r="N242" s="19" t="str">
        <f>IF(G242&gt;='Resumen Ejecutivo'!$C$8, "CRÍTICA", IF(G242&gt;='Resumen Ejecutivo'!$C$7, "TEMPRANA", "NORMAL"))</f>
        <v>NORMAL</v>
      </c>
    </row>
    <row r="243" spans="2:14" x14ac:dyDescent="0.25">
      <c r="B243" s="14">
        <v>239</v>
      </c>
      <c r="C243" s="14" t="s">
        <v>120</v>
      </c>
      <c r="D243" s="14" t="s">
        <v>121</v>
      </c>
      <c r="E243" s="14" t="s">
        <v>114</v>
      </c>
      <c r="F243" s="15">
        <v>3</v>
      </c>
      <c r="G243" s="15">
        <v>3</v>
      </c>
      <c r="H243" s="15">
        <f t="shared" si="9"/>
        <v>0</v>
      </c>
      <c r="I243" s="15">
        <f t="shared" si="10"/>
        <v>0</v>
      </c>
      <c r="J243" s="16">
        <f t="shared" si="11"/>
        <v>0</v>
      </c>
      <c r="K243" s="17">
        <v>26.8</v>
      </c>
      <c r="L243" s="18">
        <v>0.34300000000000003</v>
      </c>
      <c r="M243" s="16">
        <v>0.95599999999999996</v>
      </c>
      <c r="N243" s="14" t="str">
        <f>IF(G243&gt;='Resumen Ejecutivo'!$C$8, "CRÍTICA", IF(G243&gt;='Resumen Ejecutivo'!$C$7, "TEMPRANA", "NORMAL"))</f>
        <v>NORMAL</v>
      </c>
    </row>
    <row r="244" spans="2:14" x14ac:dyDescent="0.25">
      <c r="B244" s="19">
        <v>240</v>
      </c>
      <c r="C244" s="19" t="s">
        <v>120</v>
      </c>
      <c r="D244" s="19" t="s">
        <v>121</v>
      </c>
      <c r="E244" s="19" t="s">
        <v>115</v>
      </c>
      <c r="F244" s="20">
        <v>2</v>
      </c>
      <c r="G244" s="20">
        <v>1</v>
      </c>
      <c r="H244" s="20">
        <f t="shared" si="9"/>
        <v>1</v>
      </c>
      <c r="I244" s="20">
        <f t="shared" si="10"/>
        <v>1</v>
      </c>
      <c r="J244" s="21">
        <f t="shared" si="11"/>
        <v>0.5</v>
      </c>
      <c r="K244" s="22">
        <v>27.5</v>
      </c>
      <c r="L244" s="23">
        <v>0.33600000000000002</v>
      </c>
      <c r="M244" s="21">
        <v>0.95299999999999996</v>
      </c>
      <c r="N244" s="19" t="str">
        <f>IF(G244&gt;='Resumen Ejecutivo'!$C$8, "CRÍTICA", IF(G244&gt;='Resumen Ejecutivo'!$C$7, "TEMPRANA", "NORMAL"))</f>
        <v>NORMAL</v>
      </c>
    </row>
    <row r="245" spans="2:14" x14ac:dyDescent="0.25">
      <c r="B245" s="14">
        <v>241</v>
      </c>
      <c r="C245" s="14" t="s">
        <v>122</v>
      </c>
      <c r="D245" s="14" t="s">
        <v>123</v>
      </c>
      <c r="E245" s="14" t="s">
        <v>56</v>
      </c>
      <c r="F245" s="15">
        <v>3</v>
      </c>
      <c r="G245" s="15">
        <v>3</v>
      </c>
      <c r="H245" s="15">
        <f t="shared" si="9"/>
        <v>0</v>
      </c>
      <c r="I245" s="15">
        <f t="shared" si="10"/>
        <v>0</v>
      </c>
      <c r="J245" s="16">
        <f t="shared" si="11"/>
        <v>0</v>
      </c>
      <c r="K245" s="17">
        <v>27.2</v>
      </c>
      <c r="L245" s="18">
        <v>0.36799999999999999</v>
      </c>
      <c r="M245" s="16">
        <v>0.996</v>
      </c>
      <c r="N245" s="14" t="str">
        <f>IF(G245&gt;='Resumen Ejecutivo'!$C$8, "CRÍTICA", IF(G245&gt;='Resumen Ejecutivo'!$C$7, "TEMPRANA", "NORMAL"))</f>
        <v>NORMAL</v>
      </c>
    </row>
    <row r="246" spans="2:14" x14ac:dyDescent="0.25">
      <c r="B246" s="19">
        <v>242</v>
      </c>
      <c r="C246" s="19" t="s">
        <v>122</v>
      </c>
      <c r="D246" s="19" t="s">
        <v>123</v>
      </c>
      <c r="E246" s="19" t="s">
        <v>57</v>
      </c>
      <c r="F246" s="20">
        <v>1</v>
      </c>
      <c r="G246" s="20">
        <v>1</v>
      </c>
      <c r="H246" s="20">
        <f t="shared" si="9"/>
        <v>0</v>
      </c>
      <c r="I246" s="20">
        <f t="shared" si="10"/>
        <v>0</v>
      </c>
      <c r="J246" s="21">
        <f t="shared" si="11"/>
        <v>0</v>
      </c>
      <c r="K246" s="22">
        <v>27.4</v>
      </c>
      <c r="L246" s="23">
        <v>0.33900000000000002</v>
      </c>
      <c r="M246" s="21">
        <v>0.95699999999999996</v>
      </c>
      <c r="N246" s="19" t="str">
        <f>IF(G246&gt;='Resumen Ejecutivo'!$C$8, "CRÍTICA", IF(G246&gt;='Resumen Ejecutivo'!$C$7, "TEMPRANA", "NORMAL"))</f>
        <v>NORMAL</v>
      </c>
    </row>
    <row r="247" spans="2:14" x14ac:dyDescent="0.25">
      <c r="B247" s="14">
        <v>243</v>
      </c>
      <c r="C247" s="14" t="s">
        <v>122</v>
      </c>
      <c r="D247" s="14" t="s">
        <v>123</v>
      </c>
      <c r="E247" s="14" t="s">
        <v>58</v>
      </c>
      <c r="F247" s="15">
        <v>0</v>
      </c>
      <c r="G247" s="15">
        <v>0</v>
      </c>
      <c r="H247" s="15">
        <f t="shared" si="9"/>
        <v>0</v>
      </c>
      <c r="I247" s="15">
        <f t="shared" si="10"/>
        <v>0</v>
      </c>
      <c r="J247" s="16">
        <f t="shared" si="11"/>
        <v>0</v>
      </c>
      <c r="K247" s="17">
        <v>27.9</v>
      </c>
      <c r="L247" s="18">
        <v>0.33300000000000002</v>
      </c>
      <c r="M247" s="16">
        <v>0.98699999999999999</v>
      </c>
      <c r="N247" s="14" t="str">
        <f>IF(G247&gt;='Resumen Ejecutivo'!$C$8, "CRÍTICA", IF(G247&gt;='Resumen Ejecutivo'!$C$7, "TEMPRANA", "NORMAL"))</f>
        <v>NORMAL</v>
      </c>
    </row>
    <row r="248" spans="2:14" x14ac:dyDescent="0.25">
      <c r="B248" s="19">
        <v>244</v>
      </c>
      <c r="C248" s="19" t="s">
        <v>122</v>
      </c>
      <c r="D248" s="19" t="s">
        <v>123</v>
      </c>
      <c r="E248" s="19" t="s">
        <v>59</v>
      </c>
      <c r="F248" s="20">
        <v>1</v>
      </c>
      <c r="G248" s="20">
        <v>1</v>
      </c>
      <c r="H248" s="20">
        <f t="shared" si="9"/>
        <v>0</v>
      </c>
      <c r="I248" s="20">
        <f t="shared" si="10"/>
        <v>0</v>
      </c>
      <c r="J248" s="21">
        <f t="shared" si="11"/>
        <v>0</v>
      </c>
      <c r="K248" s="22">
        <v>28.4</v>
      </c>
      <c r="L248" s="23">
        <v>0.33500000000000002</v>
      </c>
      <c r="M248" s="21">
        <v>0.97699999999999998</v>
      </c>
      <c r="N248" s="19" t="str">
        <f>IF(G248&gt;='Resumen Ejecutivo'!$C$8, "CRÍTICA", IF(G248&gt;='Resumen Ejecutivo'!$C$7, "TEMPRANA", "NORMAL"))</f>
        <v>NORMAL</v>
      </c>
    </row>
    <row r="249" spans="2:14" x14ac:dyDescent="0.25">
      <c r="B249" s="14">
        <v>245</v>
      </c>
      <c r="C249" s="14" t="s">
        <v>122</v>
      </c>
      <c r="D249" s="14" t="s">
        <v>123</v>
      </c>
      <c r="E249" s="14" t="s">
        <v>60</v>
      </c>
      <c r="F249" s="15">
        <v>1</v>
      </c>
      <c r="G249" s="15">
        <v>1</v>
      </c>
      <c r="H249" s="15">
        <f t="shared" si="9"/>
        <v>0</v>
      </c>
      <c r="I249" s="15">
        <f t="shared" si="10"/>
        <v>0</v>
      </c>
      <c r="J249" s="16">
        <f t="shared" si="11"/>
        <v>0</v>
      </c>
      <c r="K249" s="17">
        <v>27.4</v>
      </c>
      <c r="L249" s="18">
        <v>0.35299999999999998</v>
      </c>
      <c r="M249" s="16">
        <v>0.95799999999999996</v>
      </c>
      <c r="N249" s="14" t="str">
        <f>IF(G249&gt;='Resumen Ejecutivo'!$C$8, "CRÍTICA", IF(G249&gt;='Resumen Ejecutivo'!$C$7, "TEMPRANA", "NORMAL"))</f>
        <v>NORMAL</v>
      </c>
    </row>
    <row r="250" spans="2:14" x14ac:dyDescent="0.25">
      <c r="B250" s="19">
        <v>246</v>
      </c>
      <c r="C250" s="19" t="s">
        <v>122</v>
      </c>
      <c r="D250" s="19" t="s">
        <v>123</v>
      </c>
      <c r="E250" s="19" t="s">
        <v>61</v>
      </c>
      <c r="F250" s="20">
        <v>1</v>
      </c>
      <c r="G250" s="20">
        <v>1</v>
      </c>
      <c r="H250" s="20">
        <f t="shared" si="9"/>
        <v>0</v>
      </c>
      <c r="I250" s="20">
        <f t="shared" si="10"/>
        <v>0</v>
      </c>
      <c r="J250" s="21">
        <f t="shared" si="11"/>
        <v>0</v>
      </c>
      <c r="K250" s="22">
        <v>27.3</v>
      </c>
      <c r="L250" s="23">
        <v>0.34599999999999997</v>
      </c>
      <c r="M250" s="21">
        <v>0.997</v>
      </c>
      <c r="N250" s="19" t="str">
        <f>IF(G250&gt;='Resumen Ejecutivo'!$C$8, "CRÍTICA", IF(G250&gt;='Resumen Ejecutivo'!$C$7, "TEMPRANA", "NORMAL"))</f>
        <v>NORMAL</v>
      </c>
    </row>
    <row r="251" spans="2:14" x14ac:dyDescent="0.25">
      <c r="B251" s="14">
        <v>247</v>
      </c>
      <c r="C251" s="14" t="s">
        <v>122</v>
      </c>
      <c r="D251" s="14" t="s">
        <v>123</v>
      </c>
      <c r="E251" s="14" t="s">
        <v>62</v>
      </c>
      <c r="F251" s="15">
        <v>0</v>
      </c>
      <c r="G251" s="15">
        <v>1</v>
      </c>
      <c r="H251" s="15">
        <f t="shared" si="9"/>
        <v>1</v>
      </c>
      <c r="I251" s="15">
        <f t="shared" si="10"/>
        <v>1</v>
      </c>
      <c r="J251" s="16">
        <f t="shared" si="11"/>
        <v>0</v>
      </c>
      <c r="K251" s="17">
        <v>27.8</v>
      </c>
      <c r="L251" s="18">
        <v>0.374</v>
      </c>
      <c r="M251" s="16">
        <v>0.95799999999999996</v>
      </c>
      <c r="N251" s="14" t="str">
        <f>IF(G251&gt;='Resumen Ejecutivo'!$C$8, "CRÍTICA", IF(G251&gt;='Resumen Ejecutivo'!$C$7, "TEMPRANA", "NORMAL"))</f>
        <v>NORMAL</v>
      </c>
    </row>
    <row r="252" spans="2:14" x14ac:dyDescent="0.25">
      <c r="B252" s="19">
        <v>248</v>
      </c>
      <c r="C252" s="19" t="s">
        <v>122</v>
      </c>
      <c r="D252" s="19" t="s">
        <v>123</v>
      </c>
      <c r="E252" s="19" t="s">
        <v>63</v>
      </c>
      <c r="F252" s="20">
        <v>4</v>
      </c>
      <c r="G252" s="20">
        <v>4</v>
      </c>
      <c r="H252" s="20">
        <f t="shared" si="9"/>
        <v>0</v>
      </c>
      <c r="I252" s="20">
        <f t="shared" si="10"/>
        <v>0</v>
      </c>
      <c r="J252" s="21">
        <f t="shared" si="11"/>
        <v>0</v>
      </c>
      <c r="K252" s="22">
        <v>28</v>
      </c>
      <c r="L252" s="23">
        <v>0.33200000000000002</v>
      </c>
      <c r="M252" s="21">
        <v>0.95399999999999996</v>
      </c>
      <c r="N252" s="19" t="str">
        <f>IF(G252&gt;='Resumen Ejecutivo'!$C$8, "CRÍTICA", IF(G252&gt;='Resumen Ejecutivo'!$C$7, "TEMPRANA", "NORMAL"))</f>
        <v>NORMAL</v>
      </c>
    </row>
    <row r="253" spans="2:14" x14ac:dyDescent="0.25">
      <c r="B253" s="14">
        <v>249</v>
      </c>
      <c r="C253" s="14" t="s">
        <v>122</v>
      </c>
      <c r="D253" s="14" t="s">
        <v>123</v>
      </c>
      <c r="E253" s="14" t="s">
        <v>64</v>
      </c>
      <c r="F253" s="15">
        <v>3</v>
      </c>
      <c r="G253" s="15">
        <v>3</v>
      </c>
      <c r="H253" s="15">
        <f t="shared" si="9"/>
        <v>0</v>
      </c>
      <c r="I253" s="15">
        <f t="shared" si="10"/>
        <v>0</v>
      </c>
      <c r="J253" s="16">
        <f t="shared" si="11"/>
        <v>0</v>
      </c>
      <c r="K253" s="17">
        <v>27.5</v>
      </c>
      <c r="L253" s="18">
        <v>0.35099999999999998</v>
      </c>
      <c r="M253" s="16">
        <v>0.98</v>
      </c>
      <c r="N253" s="14" t="str">
        <f>IF(G253&gt;='Resumen Ejecutivo'!$C$8, "CRÍTICA", IF(G253&gt;='Resumen Ejecutivo'!$C$7, "TEMPRANA", "NORMAL"))</f>
        <v>NORMAL</v>
      </c>
    </row>
    <row r="254" spans="2:14" x14ac:dyDescent="0.25">
      <c r="B254" s="19">
        <v>250</v>
      </c>
      <c r="C254" s="19" t="s">
        <v>122</v>
      </c>
      <c r="D254" s="19" t="s">
        <v>123</v>
      </c>
      <c r="E254" s="19" t="s">
        <v>65</v>
      </c>
      <c r="F254" s="20">
        <v>2</v>
      </c>
      <c r="G254" s="20">
        <v>2</v>
      </c>
      <c r="H254" s="20">
        <f t="shared" si="9"/>
        <v>0</v>
      </c>
      <c r="I254" s="20">
        <f t="shared" si="10"/>
        <v>0</v>
      </c>
      <c r="J254" s="21">
        <f t="shared" si="11"/>
        <v>0</v>
      </c>
      <c r="K254" s="22">
        <v>27.5</v>
      </c>
      <c r="L254" s="23">
        <v>0.34100000000000003</v>
      </c>
      <c r="M254" s="21">
        <v>0.97599999999999998</v>
      </c>
      <c r="N254" s="19" t="str">
        <f>IF(G254&gt;='Resumen Ejecutivo'!$C$8, "CRÍTICA", IF(G254&gt;='Resumen Ejecutivo'!$C$7, "TEMPRANA", "NORMAL"))</f>
        <v>NORMAL</v>
      </c>
    </row>
    <row r="255" spans="2:14" x14ac:dyDescent="0.25">
      <c r="B255" s="14">
        <v>251</v>
      </c>
      <c r="C255" s="14" t="s">
        <v>122</v>
      </c>
      <c r="D255" s="14" t="s">
        <v>123</v>
      </c>
      <c r="E255" s="14" t="s">
        <v>66</v>
      </c>
      <c r="F255" s="15">
        <v>2</v>
      </c>
      <c r="G255" s="15">
        <v>2</v>
      </c>
      <c r="H255" s="15">
        <f t="shared" si="9"/>
        <v>0</v>
      </c>
      <c r="I255" s="15">
        <f t="shared" si="10"/>
        <v>0</v>
      </c>
      <c r="J255" s="16">
        <f t="shared" si="11"/>
        <v>0</v>
      </c>
      <c r="K255" s="17">
        <v>27.4</v>
      </c>
      <c r="L255" s="18">
        <v>0.33600000000000002</v>
      </c>
      <c r="M255" s="16">
        <v>0.98399999999999999</v>
      </c>
      <c r="N255" s="14" t="str">
        <f>IF(G255&gt;='Resumen Ejecutivo'!$C$8, "CRÍTICA", IF(G255&gt;='Resumen Ejecutivo'!$C$7, "TEMPRANA", "NORMAL"))</f>
        <v>NORMAL</v>
      </c>
    </row>
    <row r="256" spans="2:14" x14ac:dyDescent="0.25">
      <c r="B256" s="19">
        <v>252</v>
      </c>
      <c r="C256" s="19" t="s">
        <v>122</v>
      </c>
      <c r="D256" s="19" t="s">
        <v>123</v>
      </c>
      <c r="E256" s="19" t="s">
        <v>67</v>
      </c>
      <c r="F256" s="20">
        <v>1</v>
      </c>
      <c r="G256" s="20">
        <v>1</v>
      </c>
      <c r="H256" s="20">
        <f t="shared" si="9"/>
        <v>0</v>
      </c>
      <c r="I256" s="20">
        <f t="shared" si="10"/>
        <v>0</v>
      </c>
      <c r="J256" s="21">
        <f t="shared" si="11"/>
        <v>0</v>
      </c>
      <c r="K256" s="22">
        <v>27.7</v>
      </c>
      <c r="L256" s="23">
        <v>0.35599999999999998</v>
      </c>
      <c r="M256" s="21">
        <v>0.96499999999999997</v>
      </c>
      <c r="N256" s="19" t="str">
        <f>IF(G256&gt;='Resumen Ejecutivo'!$C$8, "CRÍTICA", IF(G256&gt;='Resumen Ejecutivo'!$C$7, "TEMPRANA", "NORMAL"))</f>
        <v>NORMAL</v>
      </c>
    </row>
    <row r="257" spans="2:14" x14ac:dyDescent="0.25">
      <c r="B257" s="14">
        <v>253</v>
      </c>
      <c r="C257" s="14" t="s">
        <v>122</v>
      </c>
      <c r="D257" s="14" t="s">
        <v>123</v>
      </c>
      <c r="E257" s="14" t="s">
        <v>68</v>
      </c>
      <c r="F257" s="15">
        <v>2</v>
      </c>
      <c r="G257" s="15">
        <v>2</v>
      </c>
      <c r="H257" s="15">
        <f t="shared" si="9"/>
        <v>0</v>
      </c>
      <c r="I257" s="15">
        <f t="shared" si="10"/>
        <v>0</v>
      </c>
      <c r="J257" s="16">
        <f t="shared" si="11"/>
        <v>0</v>
      </c>
      <c r="K257" s="17">
        <v>27.2</v>
      </c>
      <c r="L257" s="18">
        <v>0.379</v>
      </c>
      <c r="M257" s="16">
        <v>0.95299999999999996</v>
      </c>
      <c r="N257" s="14" t="str">
        <f>IF(G257&gt;='Resumen Ejecutivo'!$C$8, "CRÍTICA", IF(G257&gt;='Resumen Ejecutivo'!$C$7, "TEMPRANA", "NORMAL"))</f>
        <v>NORMAL</v>
      </c>
    </row>
    <row r="258" spans="2:14" x14ac:dyDescent="0.25">
      <c r="B258" s="19">
        <v>254</v>
      </c>
      <c r="C258" s="19" t="s">
        <v>122</v>
      </c>
      <c r="D258" s="19" t="s">
        <v>123</v>
      </c>
      <c r="E258" s="19" t="s">
        <v>69</v>
      </c>
      <c r="F258" s="20">
        <v>2</v>
      </c>
      <c r="G258" s="20">
        <v>2</v>
      </c>
      <c r="H258" s="20">
        <f t="shared" si="9"/>
        <v>0</v>
      </c>
      <c r="I258" s="20">
        <f t="shared" si="10"/>
        <v>0</v>
      </c>
      <c r="J258" s="21">
        <f t="shared" si="11"/>
        <v>0</v>
      </c>
      <c r="K258" s="22">
        <v>27.1</v>
      </c>
      <c r="L258" s="23">
        <v>0.377</v>
      </c>
      <c r="M258" s="21">
        <v>0.98799999999999999</v>
      </c>
      <c r="N258" s="19" t="str">
        <f>IF(G258&gt;='Resumen Ejecutivo'!$C$8, "CRÍTICA", IF(G258&gt;='Resumen Ejecutivo'!$C$7, "TEMPRANA", "NORMAL"))</f>
        <v>NORMAL</v>
      </c>
    </row>
    <row r="259" spans="2:14" x14ac:dyDescent="0.25">
      <c r="B259" s="14">
        <v>255</v>
      </c>
      <c r="C259" s="14" t="s">
        <v>122</v>
      </c>
      <c r="D259" s="14" t="s">
        <v>123</v>
      </c>
      <c r="E259" s="14" t="s">
        <v>70</v>
      </c>
      <c r="F259" s="15">
        <v>1</v>
      </c>
      <c r="G259" s="15">
        <v>1</v>
      </c>
      <c r="H259" s="15">
        <f t="shared" si="9"/>
        <v>0</v>
      </c>
      <c r="I259" s="15">
        <f t="shared" si="10"/>
        <v>0</v>
      </c>
      <c r="J259" s="16">
        <f t="shared" si="11"/>
        <v>0</v>
      </c>
      <c r="K259" s="17">
        <v>28</v>
      </c>
      <c r="L259" s="18">
        <v>0.34399999999999997</v>
      </c>
      <c r="M259" s="16">
        <v>0.95599999999999996</v>
      </c>
      <c r="N259" s="14" t="str">
        <f>IF(G259&gt;='Resumen Ejecutivo'!$C$8, "CRÍTICA", IF(G259&gt;='Resumen Ejecutivo'!$C$7, "TEMPRANA", "NORMAL"))</f>
        <v>NORMAL</v>
      </c>
    </row>
    <row r="260" spans="2:14" x14ac:dyDescent="0.25">
      <c r="B260" s="19">
        <v>256</v>
      </c>
      <c r="C260" s="19" t="s">
        <v>122</v>
      </c>
      <c r="D260" s="19" t="s">
        <v>123</v>
      </c>
      <c r="E260" s="19" t="s">
        <v>71</v>
      </c>
      <c r="F260" s="20">
        <v>1</v>
      </c>
      <c r="G260" s="20">
        <v>1</v>
      </c>
      <c r="H260" s="20">
        <f t="shared" si="9"/>
        <v>0</v>
      </c>
      <c r="I260" s="20">
        <f t="shared" si="10"/>
        <v>0</v>
      </c>
      <c r="J260" s="21">
        <f t="shared" si="11"/>
        <v>0</v>
      </c>
      <c r="K260" s="22">
        <v>27.6</v>
      </c>
      <c r="L260" s="23">
        <v>0.35199999999999998</v>
      </c>
      <c r="M260" s="21">
        <v>0.95599999999999996</v>
      </c>
      <c r="N260" s="19" t="str">
        <f>IF(G260&gt;='Resumen Ejecutivo'!$C$8, "CRÍTICA", IF(G260&gt;='Resumen Ejecutivo'!$C$7, "TEMPRANA", "NORMAL"))</f>
        <v>NORMAL</v>
      </c>
    </row>
    <row r="261" spans="2:14" x14ac:dyDescent="0.25">
      <c r="B261" s="14">
        <v>257</v>
      </c>
      <c r="C261" s="14" t="s">
        <v>122</v>
      </c>
      <c r="D261" s="14" t="s">
        <v>123</v>
      </c>
      <c r="E261" s="14" t="s">
        <v>72</v>
      </c>
      <c r="F261" s="15">
        <v>7</v>
      </c>
      <c r="G261" s="15">
        <v>7</v>
      </c>
      <c r="H261" s="15">
        <f t="shared" ref="H261:H324" si="12">ABS(G261-F261)</f>
        <v>0</v>
      </c>
      <c r="I261" s="15">
        <f t="shared" ref="I261:I324" si="13">(G261-F261)^2</f>
        <v>0</v>
      </c>
      <c r="J261" s="16">
        <f t="shared" ref="J261:J324" si="14">IFERROR(H261/F261,0)</f>
        <v>0</v>
      </c>
      <c r="K261" s="17">
        <v>27.7</v>
      </c>
      <c r="L261" s="18">
        <v>0.34200000000000003</v>
      </c>
      <c r="M261" s="16">
        <v>0.97799999999999998</v>
      </c>
      <c r="N261" s="14" t="str">
        <f>IF(G261&gt;='Resumen Ejecutivo'!$C$8, "CRÍTICA", IF(G261&gt;='Resumen Ejecutivo'!$C$7, "TEMPRANA", "NORMAL"))</f>
        <v>NORMAL</v>
      </c>
    </row>
    <row r="262" spans="2:14" x14ac:dyDescent="0.25">
      <c r="B262" s="19">
        <v>258</v>
      </c>
      <c r="C262" s="19" t="s">
        <v>122</v>
      </c>
      <c r="D262" s="19" t="s">
        <v>123</v>
      </c>
      <c r="E262" s="19" t="s">
        <v>73</v>
      </c>
      <c r="F262" s="20">
        <v>3</v>
      </c>
      <c r="G262" s="20">
        <v>3</v>
      </c>
      <c r="H262" s="20">
        <f t="shared" si="12"/>
        <v>0</v>
      </c>
      <c r="I262" s="20">
        <f t="shared" si="13"/>
        <v>0</v>
      </c>
      <c r="J262" s="21">
        <f t="shared" si="14"/>
        <v>0</v>
      </c>
      <c r="K262" s="22">
        <v>27.9</v>
      </c>
      <c r="L262" s="23">
        <v>0.34799999999999998</v>
      </c>
      <c r="M262" s="21">
        <v>0.97</v>
      </c>
      <c r="N262" s="19" t="str">
        <f>IF(G262&gt;='Resumen Ejecutivo'!$C$8, "CRÍTICA", IF(G262&gt;='Resumen Ejecutivo'!$C$7, "TEMPRANA", "NORMAL"))</f>
        <v>NORMAL</v>
      </c>
    </row>
    <row r="263" spans="2:14" x14ac:dyDescent="0.25">
      <c r="B263" s="14">
        <v>259</v>
      </c>
      <c r="C263" s="14" t="s">
        <v>122</v>
      </c>
      <c r="D263" s="14" t="s">
        <v>123</v>
      </c>
      <c r="E263" s="14" t="s">
        <v>74</v>
      </c>
      <c r="F263" s="15">
        <v>1</v>
      </c>
      <c r="G263" s="15">
        <v>1</v>
      </c>
      <c r="H263" s="15">
        <f t="shared" si="12"/>
        <v>0</v>
      </c>
      <c r="I263" s="15">
        <f t="shared" si="13"/>
        <v>0</v>
      </c>
      <c r="J263" s="16">
        <f t="shared" si="14"/>
        <v>0</v>
      </c>
      <c r="K263" s="17">
        <v>28</v>
      </c>
      <c r="L263" s="18">
        <v>0.35199999999999998</v>
      </c>
      <c r="M263" s="16">
        <v>0.97299999999999998</v>
      </c>
      <c r="N263" s="14" t="str">
        <f>IF(G263&gt;='Resumen Ejecutivo'!$C$8, "CRÍTICA", IF(G263&gt;='Resumen Ejecutivo'!$C$7, "TEMPRANA", "NORMAL"))</f>
        <v>NORMAL</v>
      </c>
    </row>
    <row r="264" spans="2:14" x14ac:dyDescent="0.25">
      <c r="B264" s="19">
        <v>260</v>
      </c>
      <c r="C264" s="19" t="s">
        <v>122</v>
      </c>
      <c r="D264" s="19" t="s">
        <v>123</v>
      </c>
      <c r="E264" s="19" t="s">
        <v>75</v>
      </c>
      <c r="F264" s="20">
        <v>3</v>
      </c>
      <c r="G264" s="20">
        <v>3</v>
      </c>
      <c r="H264" s="20">
        <f t="shared" si="12"/>
        <v>0</v>
      </c>
      <c r="I264" s="20">
        <f t="shared" si="13"/>
        <v>0</v>
      </c>
      <c r="J264" s="21">
        <f t="shared" si="14"/>
        <v>0</v>
      </c>
      <c r="K264" s="22">
        <v>26.9</v>
      </c>
      <c r="L264" s="23">
        <v>0.34599999999999997</v>
      </c>
      <c r="M264" s="21">
        <v>0.97099999999999997</v>
      </c>
      <c r="N264" s="19" t="str">
        <f>IF(G264&gt;='Resumen Ejecutivo'!$C$8, "CRÍTICA", IF(G264&gt;='Resumen Ejecutivo'!$C$7, "TEMPRANA", "NORMAL"))</f>
        <v>NORMAL</v>
      </c>
    </row>
    <row r="265" spans="2:14" x14ac:dyDescent="0.25">
      <c r="B265" s="14">
        <v>261</v>
      </c>
      <c r="C265" s="14" t="s">
        <v>122</v>
      </c>
      <c r="D265" s="14" t="s">
        <v>123</v>
      </c>
      <c r="E265" s="14" t="s">
        <v>76</v>
      </c>
      <c r="F265" s="15">
        <v>3</v>
      </c>
      <c r="G265" s="15">
        <v>3</v>
      </c>
      <c r="H265" s="15">
        <f t="shared" si="12"/>
        <v>0</v>
      </c>
      <c r="I265" s="15">
        <f t="shared" si="13"/>
        <v>0</v>
      </c>
      <c r="J265" s="16">
        <f t="shared" si="14"/>
        <v>0</v>
      </c>
      <c r="K265" s="17">
        <v>27.4</v>
      </c>
      <c r="L265" s="18">
        <v>0.36199999999999999</v>
      </c>
      <c r="M265" s="16">
        <v>0.96399999999999997</v>
      </c>
      <c r="N265" s="14" t="str">
        <f>IF(G265&gt;='Resumen Ejecutivo'!$C$8, "CRÍTICA", IF(G265&gt;='Resumen Ejecutivo'!$C$7, "TEMPRANA", "NORMAL"))</f>
        <v>NORMAL</v>
      </c>
    </row>
    <row r="266" spans="2:14" x14ac:dyDescent="0.25">
      <c r="B266" s="19">
        <v>262</v>
      </c>
      <c r="C266" s="19" t="s">
        <v>122</v>
      </c>
      <c r="D266" s="19" t="s">
        <v>123</v>
      </c>
      <c r="E266" s="19" t="s">
        <v>77</v>
      </c>
      <c r="F266" s="20">
        <v>4</v>
      </c>
      <c r="G266" s="20">
        <v>4</v>
      </c>
      <c r="H266" s="20">
        <f t="shared" si="12"/>
        <v>0</v>
      </c>
      <c r="I266" s="20">
        <f t="shared" si="13"/>
        <v>0</v>
      </c>
      <c r="J266" s="21">
        <f t="shared" si="14"/>
        <v>0</v>
      </c>
      <c r="K266" s="22">
        <v>27.4</v>
      </c>
      <c r="L266" s="23">
        <v>0.378</v>
      </c>
      <c r="M266" s="21">
        <v>0.95899999999999996</v>
      </c>
      <c r="N266" s="19" t="str">
        <f>IF(G266&gt;='Resumen Ejecutivo'!$C$8, "CRÍTICA", IF(G266&gt;='Resumen Ejecutivo'!$C$7, "TEMPRANA", "NORMAL"))</f>
        <v>NORMAL</v>
      </c>
    </row>
    <row r="267" spans="2:14" x14ac:dyDescent="0.25">
      <c r="B267" s="14">
        <v>263</v>
      </c>
      <c r="C267" s="14" t="s">
        <v>122</v>
      </c>
      <c r="D267" s="14" t="s">
        <v>123</v>
      </c>
      <c r="E267" s="14" t="s">
        <v>78</v>
      </c>
      <c r="F267" s="15">
        <v>4</v>
      </c>
      <c r="G267" s="15">
        <v>4</v>
      </c>
      <c r="H267" s="15">
        <f t="shared" si="12"/>
        <v>0</v>
      </c>
      <c r="I267" s="15">
        <f t="shared" si="13"/>
        <v>0</v>
      </c>
      <c r="J267" s="16">
        <f t="shared" si="14"/>
        <v>0</v>
      </c>
      <c r="K267" s="17">
        <v>28.3</v>
      </c>
      <c r="L267" s="18">
        <v>0.35299999999999998</v>
      </c>
      <c r="M267" s="16">
        <v>0.98399999999999999</v>
      </c>
      <c r="N267" s="14" t="str">
        <f>IF(G267&gt;='Resumen Ejecutivo'!$C$8, "CRÍTICA", IF(G267&gt;='Resumen Ejecutivo'!$C$7, "TEMPRANA", "NORMAL"))</f>
        <v>NORMAL</v>
      </c>
    </row>
    <row r="268" spans="2:14" x14ac:dyDescent="0.25">
      <c r="B268" s="19">
        <v>264</v>
      </c>
      <c r="C268" s="19" t="s">
        <v>122</v>
      </c>
      <c r="D268" s="19" t="s">
        <v>123</v>
      </c>
      <c r="E268" s="19" t="s">
        <v>79</v>
      </c>
      <c r="F268" s="20">
        <v>4</v>
      </c>
      <c r="G268" s="20">
        <v>4</v>
      </c>
      <c r="H268" s="20">
        <f t="shared" si="12"/>
        <v>0</v>
      </c>
      <c r="I268" s="20">
        <f t="shared" si="13"/>
        <v>0</v>
      </c>
      <c r="J268" s="21">
        <f t="shared" si="14"/>
        <v>0</v>
      </c>
      <c r="K268" s="22">
        <v>27.4</v>
      </c>
      <c r="L268" s="23">
        <v>0.35199999999999998</v>
      </c>
      <c r="M268" s="21">
        <v>0.95499999999999996</v>
      </c>
      <c r="N268" s="19" t="str">
        <f>IF(G268&gt;='Resumen Ejecutivo'!$C$8, "CRÍTICA", IF(G268&gt;='Resumen Ejecutivo'!$C$7, "TEMPRANA", "NORMAL"))</f>
        <v>NORMAL</v>
      </c>
    </row>
    <row r="269" spans="2:14" x14ac:dyDescent="0.25">
      <c r="B269" s="14">
        <v>265</v>
      </c>
      <c r="C269" s="14" t="s">
        <v>122</v>
      </c>
      <c r="D269" s="14" t="s">
        <v>123</v>
      </c>
      <c r="E269" s="14" t="s">
        <v>80</v>
      </c>
      <c r="F269" s="15">
        <v>6</v>
      </c>
      <c r="G269" s="15">
        <v>6</v>
      </c>
      <c r="H269" s="15">
        <f t="shared" si="12"/>
        <v>0</v>
      </c>
      <c r="I269" s="15">
        <f t="shared" si="13"/>
        <v>0</v>
      </c>
      <c r="J269" s="16">
        <f t="shared" si="14"/>
        <v>0</v>
      </c>
      <c r="K269" s="17">
        <v>27.5</v>
      </c>
      <c r="L269" s="18">
        <v>0.35</v>
      </c>
      <c r="M269" s="16">
        <v>0.95399999999999996</v>
      </c>
      <c r="N269" s="14" t="str">
        <f>IF(G269&gt;='Resumen Ejecutivo'!$C$8, "CRÍTICA", IF(G269&gt;='Resumen Ejecutivo'!$C$7, "TEMPRANA", "NORMAL"))</f>
        <v>NORMAL</v>
      </c>
    </row>
    <row r="270" spans="2:14" x14ac:dyDescent="0.25">
      <c r="B270" s="19">
        <v>266</v>
      </c>
      <c r="C270" s="19" t="s">
        <v>122</v>
      </c>
      <c r="D270" s="19" t="s">
        <v>123</v>
      </c>
      <c r="E270" s="19" t="s">
        <v>81</v>
      </c>
      <c r="F270" s="20">
        <v>5</v>
      </c>
      <c r="G270" s="20">
        <v>5</v>
      </c>
      <c r="H270" s="20">
        <f t="shared" si="12"/>
        <v>0</v>
      </c>
      <c r="I270" s="20">
        <f t="shared" si="13"/>
        <v>0</v>
      </c>
      <c r="J270" s="21">
        <f t="shared" si="14"/>
        <v>0</v>
      </c>
      <c r="K270" s="22">
        <v>28.2</v>
      </c>
      <c r="L270" s="23">
        <v>0.36699999999999999</v>
      </c>
      <c r="M270" s="21">
        <v>0.96099999999999997</v>
      </c>
      <c r="N270" s="19" t="str">
        <f>IF(G270&gt;='Resumen Ejecutivo'!$C$8, "CRÍTICA", IF(G270&gt;='Resumen Ejecutivo'!$C$7, "TEMPRANA", "NORMAL"))</f>
        <v>NORMAL</v>
      </c>
    </row>
    <row r="271" spans="2:14" x14ac:dyDescent="0.25">
      <c r="B271" s="14">
        <v>267</v>
      </c>
      <c r="C271" s="14" t="s">
        <v>122</v>
      </c>
      <c r="D271" s="14" t="s">
        <v>123</v>
      </c>
      <c r="E271" s="14" t="s">
        <v>82</v>
      </c>
      <c r="F271" s="15">
        <v>4</v>
      </c>
      <c r="G271" s="15">
        <v>4</v>
      </c>
      <c r="H271" s="15">
        <f t="shared" si="12"/>
        <v>0</v>
      </c>
      <c r="I271" s="15">
        <f t="shared" si="13"/>
        <v>0</v>
      </c>
      <c r="J271" s="16">
        <f t="shared" si="14"/>
        <v>0</v>
      </c>
      <c r="K271" s="17">
        <v>28</v>
      </c>
      <c r="L271" s="18">
        <v>0.33400000000000002</v>
      </c>
      <c r="M271" s="16">
        <v>0.98199999999999998</v>
      </c>
      <c r="N271" s="14" t="str">
        <f>IF(G271&gt;='Resumen Ejecutivo'!$C$8, "CRÍTICA", IF(G271&gt;='Resumen Ejecutivo'!$C$7, "TEMPRANA", "NORMAL"))</f>
        <v>NORMAL</v>
      </c>
    </row>
    <row r="272" spans="2:14" x14ac:dyDescent="0.25">
      <c r="B272" s="19">
        <v>268</v>
      </c>
      <c r="C272" s="19" t="s">
        <v>122</v>
      </c>
      <c r="D272" s="19" t="s">
        <v>123</v>
      </c>
      <c r="E272" s="19" t="s">
        <v>83</v>
      </c>
      <c r="F272" s="20">
        <v>2</v>
      </c>
      <c r="G272" s="20">
        <v>1</v>
      </c>
      <c r="H272" s="20">
        <f t="shared" si="12"/>
        <v>1</v>
      </c>
      <c r="I272" s="20">
        <f t="shared" si="13"/>
        <v>1</v>
      </c>
      <c r="J272" s="21">
        <f t="shared" si="14"/>
        <v>0.5</v>
      </c>
      <c r="K272" s="22">
        <v>27.6</v>
      </c>
      <c r="L272" s="23">
        <v>0.34</v>
      </c>
      <c r="M272" s="21">
        <v>0.98899999999999999</v>
      </c>
      <c r="N272" s="19" t="str">
        <f>IF(G272&gt;='Resumen Ejecutivo'!$C$8, "CRÍTICA", IF(G272&gt;='Resumen Ejecutivo'!$C$7, "TEMPRANA", "NORMAL"))</f>
        <v>NORMAL</v>
      </c>
    </row>
    <row r="273" spans="2:14" x14ac:dyDescent="0.25">
      <c r="B273" s="14">
        <v>269</v>
      </c>
      <c r="C273" s="14" t="s">
        <v>122</v>
      </c>
      <c r="D273" s="14" t="s">
        <v>123</v>
      </c>
      <c r="E273" s="14" t="s">
        <v>84</v>
      </c>
      <c r="F273" s="15">
        <v>2</v>
      </c>
      <c r="G273" s="15">
        <v>2</v>
      </c>
      <c r="H273" s="15">
        <f t="shared" si="12"/>
        <v>0</v>
      </c>
      <c r="I273" s="15">
        <f t="shared" si="13"/>
        <v>0</v>
      </c>
      <c r="J273" s="16">
        <f t="shared" si="14"/>
        <v>0</v>
      </c>
      <c r="K273" s="17">
        <v>27.4</v>
      </c>
      <c r="L273" s="18">
        <v>0.378</v>
      </c>
      <c r="M273" s="16">
        <v>0.98199999999999998</v>
      </c>
      <c r="N273" s="14" t="str">
        <f>IF(G273&gt;='Resumen Ejecutivo'!$C$8, "CRÍTICA", IF(G273&gt;='Resumen Ejecutivo'!$C$7, "TEMPRANA", "NORMAL"))</f>
        <v>NORMAL</v>
      </c>
    </row>
    <row r="274" spans="2:14" x14ac:dyDescent="0.25">
      <c r="B274" s="19">
        <v>270</v>
      </c>
      <c r="C274" s="19" t="s">
        <v>122</v>
      </c>
      <c r="D274" s="19" t="s">
        <v>123</v>
      </c>
      <c r="E274" s="19" t="s">
        <v>85</v>
      </c>
      <c r="F274" s="20">
        <v>4</v>
      </c>
      <c r="G274" s="20">
        <v>4</v>
      </c>
      <c r="H274" s="20">
        <f t="shared" si="12"/>
        <v>0</v>
      </c>
      <c r="I274" s="20">
        <f t="shared" si="13"/>
        <v>0</v>
      </c>
      <c r="J274" s="21">
        <f t="shared" si="14"/>
        <v>0</v>
      </c>
      <c r="K274" s="22">
        <v>27</v>
      </c>
      <c r="L274" s="23">
        <v>0.33500000000000002</v>
      </c>
      <c r="M274" s="21">
        <v>0.96299999999999997</v>
      </c>
      <c r="N274" s="19" t="str">
        <f>IF(G274&gt;='Resumen Ejecutivo'!$C$8, "CRÍTICA", IF(G274&gt;='Resumen Ejecutivo'!$C$7, "TEMPRANA", "NORMAL"))</f>
        <v>NORMAL</v>
      </c>
    </row>
    <row r="275" spans="2:14" x14ac:dyDescent="0.25">
      <c r="B275" s="14">
        <v>271</v>
      </c>
      <c r="C275" s="14" t="s">
        <v>122</v>
      </c>
      <c r="D275" s="14" t="s">
        <v>123</v>
      </c>
      <c r="E275" s="14" t="s">
        <v>86</v>
      </c>
      <c r="F275" s="15">
        <v>5</v>
      </c>
      <c r="G275" s="15">
        <v>5</v>
      </c>
      <c r="H275" s="15">
        <f t="shared" si="12"/>
        <v>0</v>
      </c>
      <c r="I275" s="15">
        <f t="shared" si="13"/>
        <v>0</v>
      </c>
      <c r="J275" s="16">
        <f t="shared" si="14"/>
        <v>0</v>
      </c>
      <c r="K275" s="17">
        <v>27.1</v>
      </c>
      <c r="L275" s="18">
        <v>0.33800000000000002</v>
      </c>
      <c r="M275" s="16">
        <v>0.98799999999999999</v>
      </c>
      <c r="N275" s="14" t="str">
        <f>IF(G275&gt;='Resumen Ejecutivo'!$C$8, "CRÍTICA", IF(G275&gt;='Resumen Ejecutivo'!$C$7, "TEMPRANA", "NORMAL"))</f>
        <v>NORMAL</v>
      </c>
    </row>
    <row r="276" spans="2:14" x14ac:dyDescent="0.25">
      <c r="B276" s="19">
        <v>272</v>
      </c>
      <c r="C276" s="19" t="s">
        <v>122</v>
      </c>
      <c r="D276" s="19" t="s">
        <v>123</v>
      </c>
      <c r="E276" s="19" t="s">
        <v>87</v>
      </c>
      <c r="F276" s="20">
        <v>10</v>
      </c>
      <c r="G276" s="20">
        <v>11</v>
      </c>
      <c r="H276" s="20">
        <f t="shared" si="12"/>
        <v>1</v>
      </c>
      <c r="I276" s="20">
        <f t="shared" si="13"/>
        <v>1</v>
      </c>
      <c r="J276" s="21">
        <f t="shared" si="14"/>
        <v>0.1</v>
      </c>
      <c r="K276" s="22">
        <v>26.9</v>
      </c>
      <c r="L276" s="23">
        <v>0.378</v>
      </c>
      <c r="M276" s="21">
        <v>0.98099999999999998</v>
      </c>
      <c r="N276" s="19" t="str">
        <f>IF(G276&gt;='Resumen Ejecutivo'!$C$8, "CRÍTICA", IF(G276&gt;='Resumen Ejecutivo'!$C$7, "TEMPRANA", "NORMAL"))</f>
        <v>NORMAL</v>
      </c>
    </row>
    <row r="277" spans="2:14" x14ac:dyDescent="0.25">
      <c r="B277" s="14">
        <v>273</v>
      </c>
      <c r="C277" s="14" t="s">
        <v>122</v>
      </c>
      <c r="D277" s="14" t="s">
        <v>123</v>
      </c>
      <c r="E277" s="14" t="s">
        <v>88</v>
      </c>
      <c r="F277" s="15">
        <v>5</v>
      </c>
      <c r="G277" s="15">
        <v>5</v>
      </c>
      <c r="H277" s="15">
        <f t="shared" si="12"/>
        <v>0</v>
      </c>
      <c r="I277" s="15">
        <f t="shared" si="13"/>
        <v>0</v>
      </c>
      <c r="J277" s="16">
        <f t="shared" si="14"/>
        <v>0</v>
      </c>
      <c r="K277" s="17">
        <v>27.5</v>
      </c>
      <c r="L277" s="18">
        <v>0.35799999999999998</v>
      </c>
      <c r="M277" s="16">
        <v>0.97899999999999998</v>
      </c>
      <c r="N277" s="14" t="str">
        <f>IF(G277&gt;='Resumen Ejecutivo'!$C$8, "CRÍTICA", IF(G277&gt;='Resumen Ejecutivo'!$C$7, "TEMPRANA", "NORMAL"))</f>
        <v>NORMAL</v>
      </c>
    </row>
    <row r="278" spans="2:14" x14ac:dyDescent="0.25">
      <c r="B278" s="19">
        <v>274</v>
      </c>
      <c r="C278" s="19" t="s">
        <v>122</v>
      </c>
      <c r="D278" s="19" t="s">
        <v>123</v>
      </c>
      <c r="E278" s="19" t="s">
        <v>89</v>
      </c>
      <c r="F278" s="20">
        <v>5</v>
      </c>
      <c r="G278" s="20">
        <v>5</v>
      </c>
      <c r="H278" s="20">
        <f t="shared" si="12"/>
        <v>0</v>
      </c>
      <c r="I278" s="20">
        <f t="shared" si="13"/>
        <v>0</v>
      </c>
      <c r="J278" s="21">
        <f t="shared" si="14"/>
        <v>0</v>
      </c>
      <c r="K278" s="22">
        <v>27.9</v>
      </c>
      <c r="L278" s="23">
        <v>0.374</v>
      </c>
      <c r="M278" s="21">
        <v>0.98199999999999998</v>
      </c>
      <c r="N278" s="19" t="str">
        <f>IF(G278&gt;='Resumen Ejecutivo'!$C$8, "CRÍTICA", IF(G278&gt;='Resumen Ejecutivo'!$C$7, "TEMPRANA", "NORMAL"))</f>
        <v>NORMAL</v>
      </c>
    </row>
    <row r="279" spans="2:14" x14ac:dyDescent="0.25">
      <c r="B279" s="14">
        <v>275</v>
      </c>
      <c r="C279" s="14" t="s">
        <v>122</v>
      </c>
      <c r="D279" s="14" t="s">
        <v>123</v>
      </c>
      <c r="E279" s="14" t="s">
        <v>90</v>
      </c>
      <c r="F279" s="15">
        <v>6</v>
      </c>
      <c r="G279" s="15">
        <v>6</v>
      </c>
      <c r="H279" s="15">
        <f t="shared" si="12"/>
        <v>0</v>
      </c>
      <c r="I279" s="15">
        <f t="shared" si="13"/>
        <v>0</v>
      </c>
      <c r="J279" s="16">
        <f t="shared" si="14"/>
        <v>0</v>
      </c>
      <c r="K279" s="17">
        <v>28.4</v>
      </c>
      <c r="L279" s="18">
        <v>0.34599999999999997</v>
      </c>
      <c r="M279" s="16">
        <v>0.999</v>
      </c>
      <c r="N279" s="14" t="str">
        <f>IF(G279&gt;='Resumen Ejecutivo'!$C$8, "CRÍTICA", IF(G279&gt;='Resumen Ejecutivo'!$C$7, "TEMPRANA", "NORMAL"))</f>
        <v>NORMAL</v>
      </c>
    </row>
    <row r="280" spans="2:14" x14ac:dyDescent="0.25">
      <c r="B280" s="19">
        <v>276</v>
      </c>
      <c r="C280" s="19" t="s">
        <v>122</v>
      </c>
      <c r="D280" s="19" t="s">
        <v>123</v>
      </c>
      <c r="E280" s="19" t="s">
        <v>91</v>
      </c>
      <c r="F280" s="20">
        <v>11</v>
      </c>
      <c r="G280" s="20">
        <v>11</v>
      </c>
      <c r="H280" s="20">
        <f t="shared" si="12"/>
        <v>0</v>
      </c>
      <c r="I280" s="20">
        <f t="shared" si="13"/>
        <v>0</v>
      </c>
      <c r="J280" s="21">
        <f t="shared" si="14"/>
        <v>0</v>
      </c>
      <c r="K280" s="22">
        <v>27.3</v>
      </c>
      <c r="L280" s="23">
        <v>0.35199999999999998</v>
      </c>
      <c r="M280" s="21">
        <v>0.97299999999999998</v>
      </c>
      <c r="N280" s="19" t="str">
        <f>IF(G280&gt;='Resumen Ejecutivo'!$C$8, "CRÍTICA", IF(G280&gt;='Resumen Ejecutivo'!$C$7, "TEMPRANA", "NORMAL"))</f>
        <v>NORMAL</v>
      </c>
    </row>
    <row r="281" spans="2:14" x14ac:dyDescent="0.25">
      <c r="B281" s="14">
        <v>277</v>
      </c>
      <c r="C281" s="14" t="s">
        <v>122</v>
      </c>
      <c r="D281" s="14" t="s">
        <v>123</v>
      </c>
      <c r="E281" s="14" t="s">
        <v>92</v>
      </c>
      <c r="F281" s="15">
        <v>11</v>
      </c>
      <c r="G281" s="15">
        <v>11</v>
      </c>
      <c r="H281" s="15">
        <f t="shared" si="12"/>
        <v>0</v>
      </c>
      <c r="I281" s="15">
        <f t="shared" si="13"/>
        <v>0</v>
      </c>
      <c r="J281" s="16">
        <f t="shared" si="14"/>
        <v>0</v>
      </c>
      <c r="K281" s="17">
        <v>27.8</v>
      </c>
      <c r="L281" s="18">
        <v>0.37</v>
      </c>
      <c r="M281" s="16">
        <v>0.98</v>
      </c>
      <c r="N281" s="14" t="str">
        <f>IF(G281&gt;='Resumen Ejecutivo'!$C$8, "CRÍTICA", IF(G281&gt;='Resumen Ejecutivo'!$C$7, "TEMPRANA", "NORMAL"))</f>
        <v>NORMAL</v>
      </c>
    </row>
    <row r="282" spans="2:14" x14ac:dyDescent="0.25">
      <c r="B282" s="19">
        <v>278</v>
      </c>
      <c r="C282" s="19" t="s">
        <v>122</v>
      </c>
      <c r="D282" s="19" t="s">
        <v>123</v>
      </c>
      <c r="E282" s="19" t="s">
        <v>93</v>
      </c>
      <c r="F282" s="20">
        <v>6</v>
      </c>
      <c r="G282" s="20">
        <v>6</v>
      </c>
      <c r="H282" s="20">
        <f t="shared" si="12"/>
        <v>0</v>
      </c>
      <c r="I282" s="20">
        <f t="shared" si="13"/>
        <v>0</v>
      </c>
      <c r="J282" s="21">
        <f t="shared" si="14"/>
        <v>0</v>
      </c>
      <c r="K282" s="22">
        <v>27.4</v>
      </c>
      <c r="L282" s="23">
        <v>0.33400000000000002</v>
      </c>
      <c r="M282" s="21">
        <v>0.97299999999999998</v>
      </c>
      <c r="N282" s="19" t="str">
        <f>IF(G282&gt;='Resumen Ejecutivo'!$C$8, "CRÍTICA", IF(G282&gt;='Resumen Ejecutivo'!$C$7, "TEMPRANA", "NORMAL"))</f>
        <v>NORMAL</v>
      </c>
    </row>
    <row r="283" spans="2:14" x14ac:dyDescent="0.25">
      <c r="B283" s="14">
        <v>279</v>
      </c>
      <c r="C283" s="14" t="s">
        <v>122</v>
      </c>
      <c r="D283" s="14" t="s">
        <v>123</v>
      </c>
      <c r="E283" s="14" t="s">
        <v>94</v>
      </c>
      <c r="F283" s="15">
        <v>7</v>
      </c>
      <c r="G283" s="15">
        <v>7</v>
      </c>
      <c r="H283" s="15">
        <f t="shared" si="12"/>
        <v>0</v>
      </c>
      <c r="I283" s="15">
        <f t="shared" si="13"/>
        <v>0</v>
      </c>
      <c r="J283" s="16">
        <f t="shared" si="14"/>
        <v>0</v>
      </c>
      <c r="K283" s="17">
        <v>26.9</v>
      </c>
      <c r="L283" s="18">
        <v>0.34799999999999998</v>
      </c>
      <c r="M283" s="16">
        <v>0.96399999999999997</v>
      </c>
      <c r="N283" s="14" t="str">
        <f>IF(G283&gt;='Resumen Ejecutivo'!$C$8, "CRÍTICA", IF(G283&gt;='Resumen Ejecutivo'!$C$7, "TEMPRANA", "NORMAL"))</f>
        <v>NORMAL</v>
      </c>
    </row>
    <row r="284" spans="2:14" x14ac:dyDescent="0.25">
      <c r="B284" s="19">
        <v>280</v>
      </c>
      <c r="C284" s="19" t="s">
        <v>122</v>
      </c>
      <c r="D284" s="19" t="s">
        <v>123</v>
      </c>
      <c r="E284" s="19" t="s">
        <v>95</v>
      </c>
      <c r="F284" s="20">
        <v>5</v>
      </c>
      <c r="G284" s="20">
        <v>6</v>
      </c>
      <c r="H284" s="20">
        <f t="shared" si="12"/>
        <v>1</v>
      </c>
      <c r="I284" s="20">
        <f t="shared" si="13"/>
        <v>1</v>
      </c>
      <c r="J284" s="21">
        <f t="shared" si="14"/>
        <v>0.2</v>
      </c>
      <c r="K284" s="22">
        <v>27.8</v>
      </c>
      <c r="L284" s="23">
        <v>0.379</v>
      </c>
      <c r="M284" s="21">
        <v>0.95499999999999996</v>
      </c>
      <c r="N284" s="19" t="str">
        <f>IF(G284&gt;='Resumen Ejecutivo'!$C$8, "CRÍTICA", IF(G284&gt;='Resumen Ejecutivo'!$C$7, "TEMPRANA", "NORMAL"))</f>
        <v>NORMAL</v>
      </c>
    </row>
    <row r="285" spans="2:14" x14ac:dyDescent="0.25">
      <c r="B285" s="14">
        <v>281</v>
      </c>
      <c r="C285" s="14" t="s">
        <v>122</v>
      </c>
      <c r="D285" s="14" t="s">
        <v>123</v>
      </c>
      <c r="E285" s="14" t="s">
        <v>96</v>
      </c>
      <c r="F285" s="15">
        <v>7</v>
      </c>
      <c r="G285" s="15">
        <v>7</v>
      </c>
      <c r="H285" s="15">
        <f t="shared" si="12"/>
        <v>0</v>
      </c>
      <c r="I285" s="15">
        <f t="shared" si="13"/>
        <v>0</v>
      </c>
      <c r="J285" s="16">
        <f t="shared" si="14"/>
        <v>0</v>
      </c>
      <c r="K285" s="17">
        <v>27.8</v>
      </c>
      <c r="L285" s="18">
        <v>0.34899999999999998</v>
      </c>
      <c r="M285" s="16">
        <v>0.97899999999999998</v>
      </c>
      <c r="N285" s="14" t="str">
        <f>IF(G285&gt;='Resumen Ejecutivo'!$C$8, "CRÍTICA", IF(G285&gt;='Resumen Ejecutivo'!$C$7, "TEMPRANA", "NORMAL"))</f>
        <v>NORMAL</v>
      </c>
    </row>
    <row r="286" spans="2:14" x14ac:dyDescent="0.25">
      <c r="B286" s="19">
        <v>282</v>
      </c>
      <c r="C286" s="19" t="s">
        <v>122</v>
      </c>
      <c r="D286" s="19" t="s">
        <v>123</v>
      </c>
      <c r="E286" s="19" t="s">
        <v>97</v>
      </c>
      <c r="F286" s="20">
        <v>8</v>
      </c>
      <c r="G286" s="20">
        <v>8</v>
      </c>
      <c r="H286" s="20">
        <f t="shared" si="12"/>
        <v>0</v>
      </c>
      <c r="I286" s="20">
        <f t="shared" si="13"/>
        <v>0</v>
      </c>
      <c r="J286" s="21">
        <f t="shared" si="14"/>
        <v>0</v>
      </c>
      <c r="K286" s="22">
        <v>28.3</v>
      </c>
      <c r="L286" s="23">
        <v>0.36699999999999999</v>
      </c>
      <c r="M286" s="21">
        <v>0.95199999999999996</v>
      </c>
      <c r="N286" s="19" t="str">
        <f>IF(G286&gt;='Resumen Ejecutivo'!$C$8, "CRÍTICA", IF(G286&gt;='Resumen Ejecutivo'!$C$7, "TEMPRANA", "NORMAL"))</f>
        <v>NORMAL</v>
      </c>
    </row>
    <row r="287" spans="2:14" x14ac:dyDescent="0.25">
      <c r="B287" s="14">
        <v>283</v>
      </c>
      <c r="C287" s="14" t="s">
        <v>122</v>
      </c>
      <c r="D287" s="14" t="s">
        <v>123</v>
      </c>
      <c r="E287" s="14" t="s">
        <v>98</v>
      </c>
      <c r="F287" s="15">
        <v>5</v>
      </c>
      <c r="G287" s="15">
        <v>5</v>
      </c>
      <c r="H287" s="15">
        <f t="shared" si="12"/>
        <v>0</v>
      </c>
      <c r="I287" s="15">
        <f t="shared" si="13"/>
        <v>0</v>
      </c>
      <c r="J287" s="16">
        <f t="shared" si="14"/>
        <v>0</v>
      </c>
      <c r="K287" s="17">
        <v>28.3</v>
      </c>
      <c r="L287" s="18">
        <v>0.35899999999999999</v>
      </c>
      <c r="M287" s="16">
        <v>0.95899999999999996</v>
      </c>
      <c r="N287" s="14" t="str">
        <f>IF(G287&gt;='Resumen Ejecutivo'!$C$8, "CRÍTICA", IF(G287&gt;='Resumen Ejecutivo'!$C$7, "TEMPRANA", "NORMAL"))</f>
        <v>NORMAL</v>
      </c>
    </row>
    <row r="288" spans="2:14" x14ac:dyDescent="0.25">
      <c r="B288" s="19">
        <v>284</v>
      </c>
      <c r="C288" s="19" t="s">
        <v>122</v>
      </c>
      <c r="D288" s="19" t="s">
        <v>123</v>
      </c>
      <c r="E288" s="19" t="s">
        <v>99</v>
      </c>
      <c r="F288" s="20">
        <v>8</v>
      </c>
      <c r="G288" s="20">
        <v>8</v>
      </c>
      <c r="H288" s="20">
        <f t="shared" si="12"/>
        <v>0</v>
      </c>
      <c r="I288" s="20">
        <f t="shared" si="13"/>
        <v>0</v>
      </c>
      <c r="J288" s="21">
        <f t="shared" si="14"/>
        <v>0</v>
      </c>
      <c r="K288" s="22">
        <v>27.8</v>
      </c>
      <c r="L288" s="23">
        <v>0.35499999999999998</v>
      </c>
      <c r="M288" s="21">
        <v>0.998</v>
      </c>
      <c r="N288" s="19" t="str">
        <f>IF(G288&gt;='Resumen Ejecutivo'!$C$8, "CRÍTICA", IF(G288&gt;='Resumen Ejecutivo'!$C$7, "TEMPRANA", "NORMAL"))</f>
        <v>NORMAL</v>
      </c>
    </row>
    <row r="289" spans="2:14" x14ac:dyDescent="0.25">
      <c r="B289" s="14">
        <v>285</v>
      </c>
      <c r="C289" s="14" t="s">
        <v>122</v>
      </c>
      <c r="D289" s="14" t="s">
        <v>123</v>
      </c>
      <c r="E289" s="14" t="s">
        <v>100</v>
      </c>
      <c r="F289" s="15">
        <v>6</v>
      </c>
      <c r="G289" s="15">
        <v>6</v>
      </c>
      <c r="H289" s="15">
        <f t="shared" si="12"/>
        <v>0</v>
      </c>
      <c r="I289" s="15">
        <f t="shared" si="13"/>
        <v>0</v>
      </c>
      <c r="J289" s="16">
        <f t="shared" si="14"/>
        <v>0</v>
      </c>
      <c r="K289" s="17">
        <v>27.5</v>
      </c>
      <c r="L289" s="18">
        <v>0.371</v>
      </c>
      <c r="M289" s="16">
        <v>0.99199999999999999</v>
      </c>
      <c r="N289" s="14" t="str">
        <f>IF(G289&gt;='Resumen Ejecutivo'!$C$8, "CRÍTICA", IF(G289&gt;='Resumen Ejecutivo'!$C$7, "TEMPRANA", "NORMAL"))</f>
        <v>NORMAL</v>
      </c>
    </row>
    <row r="290" spans="2:14" x14ac:dyDescent="0.25">
      <c r="B290" s="19">
        <v>286</v>
      </c>
      <c r="C290" s="19" t="s">
        <v>122</v>
      </c>
      <c r="D290" s="19" t="s">
        <v>123</v>
      </c>
      <c r="E290" s="19" t="s">
        <v>101</v>
      </c>
      <c r="F290" s="20">
        <v>1</v>
      </c>
      <c r="G290" s="20">
        <v>0</v>
      </c>
      <c r="H290" s="20">
        <f t="shared" si="12"/>
        <v>1</v>
      </c>
      <c r="I290" s="20">
        <f t="shared" si="13"/>
        <v>1</v>
      </c>
      <c r="J290" s="21">
        <f t="shared" si="14"/>
        <v>1</v>
      </c>
      <c r="K290" s="22">
        <v>28.4</v>
      </c>
      <c r="L290" s="23">
        <v>0.33400000000000002</v>
      </c>
      <c r="M290" s="21">
        <v>0.98199999999999998</v>
      </c>
      <c r="N290" s="19" t="str">
        <f>IF(G290&gt;='Resumen Ejecutivo'!$C$8, "CRÍTICA", IF(G290&gt;='Resumen Ejecutivo'!$C$7, "TEMPRANA", "NORMAL"))</f>
        <v>NORMAL</v>
      </c>
    </row>
    <row r="291" spans="2:14" x14ac:dyDescent="0.25">
      <c r="B291" s="14">
        <v>287</v>
      </c>
      <c r="C291" s="14" t="s">
        <v>122</v>
      </c>
      <c r="D291" s="14" t="s">
        <v>123</v>
      </c>
      <c r="E291" s="14" t="s">
        <v>102</v>
      </c>
      <c r="F291" s="15">
        <v>2</v>
      </c>
      <c r="G291" s="15">
        <v>2</v>
      </c>
      <c r="H291" s="15">
        <f t="shared" si="12"/>
        <v>0</v>
      </c>
      <c r="I291" s="15">
        <f t="shared" si="13"/>
        <v>0</v>
      </c>
      <c r="J291" s="16">
        <f t="shared" si="14"/>
        <v>0</v>
      </c>
      <c r="K291" s="17">
        <v>26.9</v>
      </c>
      <c r="L291" s="18">
        <v>0.36499999999999999</v>
      </c>
      <c r="M291" s="16">
        <v>1</v>
      </c>
      <c r="N291" s="14" t="str">
        <f>IF(G291&gt;='Resumen Ejecutivo'!$C$8, "CRÍTICA", IF(G291&gt;='Resumen Ejecutivo'!$C$7, "TEMPRANA", "NORMAL"))</f>
        <v>NORMAL</v>
      </c>
    </row>
    <row r="292" spans="2:14" x14ac:dyDescent="0.25">
      <c r="B292" s="19">
        <v>288</v>
      </c>
      <c r="C292" s="19" t="s">
        <v>122</v>
      </c>
      <c r="D292" s="19" t="s">
        <v>123</v>
      </c>
      <c r="E292" s="19" t="s">
        <v>103</v>
      </c>
      <c r="F292" s="20">
        <v>1</v>
      </c>
      <c r="G292" s="20">
        <v>0</v>
      </c>
      <c r="H292" s="20">
        <f t="shared" si="12"/>
        <v>1</v>
      </c>
      <c r="I292" s="20">
        <f t="shared" si="13"/>
        <v>1</v>
      </c>
      <c r="J292" s="21">
        <f t="shared" si="14"/>
        <v>1</v>
      </c>
      <c r="K292" s="22">
        <v>27.6</v>
      </c>
      <c r="L292" s="23">
        <v>0.36</v>
      </c>
      <c r="M292" s="21">
        <v>0.96799999999999997</v>
      </c>
      <c r="N292" s="19" t="str">
        <f>IF(G292&gt;='Resumen Ejecutivo'!$C$8, "CRÍTICA", IF(G292&gt;='Resumen Ejecutivo'!$C$7, "TEMPRANA", "NORMAL"))</f>
        <v>NORMAL</v>
      </c>
    </row>
    <row r="293" spans="2:14" x14ac:dyDescent="0.25">
      <c r="B293" s="14">
        <v>289</v>
      </c>
      <c r="C293" s="14" t="s">
        <v>122</v>
      </c>
      <c r="D293" s="14" t="s">
        <v>123</v>
      </c>
      <c r="E293" s="14" t="s">
        <v>104</v>
      </c>
      <c r="F293" s="15">
        <v>3</v>
      </c>
      <c r="G293" s="15">
        <v>3</v>
      </c>
      <c r="H293" s="15">
        <f t="shared" si="12"/>
        <v>0</v>
      </c>
      <c r="I293" s="15">
        <f t="shared" si="13"/>
        <v>0</v>
      </c>
      <c r="J293" s="16">
        <f t="shared" si="14"/>
        <v>0</v>
      </c>
      <c r="K293" s="17">
        <v>28.3</v>
      </c>
      <c r="L293" s="18">
        <v>0.34899999999999998</v>
      </c>
      <c r="M293" s="16">
        <v>0.98899999999999999</v>
      </c>
      <c r="N293" s="14" t="str">
        <f>IF(G293&gt;='Resumen Ejecutivo'!$C$8, "CRÍTICA", IF(G293&gt;='Resumen Ejecutivo'!$C$7, "TEMPRANA", "NORMAL"))</f>
        <v>NORMAL</v>
      </c>
    </row>
    <row r="294" spans="2:14" x14ac:dyDescent="0.25">
      <c r="B294" s="19">
        <v>290</v>
      </c>
      <c r="C294" s="19" t="s">
        <v>122</v>
      </c>
      <c r="D294" s="19" t="s">
        <v>123</v>
      </c>
      <c r="E294" s="19" t="s">
        <v>105</v>
      </c>
      <c r="F294" s="20">
        <v>2</v>
      </c>
      <c r="G294" s="20">
        <v>2</v>
      </c>
      <c r="H294" s="20">
        <f t="shared" si="12"/>
        <v>0</v>
      </c>
      <c r="I294" s="20">
        <f t="shared" si="13"/>
        <v>0</v>
      </c>
      <c r="J294" s="21">
        <f t="shared" si="14"/>
        <v>0</v>
      </c>
      <c r="K294" s="22">
        <v>27.9</v>
      </c>
      <c r="L294" s="23">
        <v>0.33300000000000002</v>
      </c>
      <c r="M294" s="21">
        <v>0.98199999999999998</v>
      </c>
      <c r="N294" s="19" t="str">
        <f>IF(G294&gt;='Resumen Ejecutivo'!$C$8, "CRÍTICA", IF(G294&gt;='Resumen Ejecutivo'!$C$7, "TEMPRANA", "NORMAL"))</f>
        <v>NORMAL</v>
      </c>
    </row>
    <row r="295" spans="2:14" x14ac:dyDescent="0.25">
      <c r="B295" s="14">
        <v>291</v>
      </c>
      <c r="C295" s="14" t="s">
        <v>122</v>
      </c>
      <c r="D295" s="14" t="s">
        <v>123</v>
      </c>
      <c r="E295" s="14" t="s">
        <v>106</v>
      </c>
      <c r="F295" s="15">
        <v>2</v>
      </c>
      <c r="G295" s="15">
        <v>2</v>
      </c>
      <c r="H295" s="15">
        <f t="shared" si="12"/>
        <v>0</v>
      </c>
      <c r="I295" s="15">
        <f t="shared" si="13"/>
        <v>0</v>
      </c>
      <c r="J295" s="16">
        <f t="shared" si="14"/>
        <v>0</v>
      </c>
      <c r="K295" s="17">
        <v>27.3</v>
      </c>
      <c r="L295" s="18">
        <v>0.34599999999999997</v>
      </c>
      <c r="M295" s="16">
        <v>0.97799999999999998</v>
      </c>
      <c r="N295" s="14" t="str">
        <f>IF(G295&gt;='Resumen Ejecutivo'!$C$8, "CRÍTICA", IF(G295&gt;='Resumen Ejecutivo'!$C$7, "TEMPRANA", "NORMAL"))</f>
        <v>NORMAL</v>
      </c>
    </row>
    <row r="296" spans="2:14" x14ac:dyDescent="0.25">
      <c r="B296" s="19">
        <v>292</v>
      </c>
      <c r="C296" s="19" t="s">
        <v>122</v>
      </c>
      <c r="D296" s="19" t="s">
        <v>123</v>
      </c>
      <c r="E296" s="19" t="s">
        <v>107</v>
      </c>
      <c r="F296" s="20">
        <v>1</v>
      </c>
      <c r="G296" s="20">
        <v>1</v>
      </c>
      <c r="H296" s="20">
        <f t="shared" si="12"/>
        <v>0</v>
      </c>
      <c r="I296" s="20">
        <f t="shared" si="13"/>
        <v>0</v>
      </c>
      <c r="J296" s="21">
        <f t="shared" si="14"/>
        <v>0</v>
      </c>
      <c r="K296" s="22">
        <v>27.4</v>
      </c>
      <c r="L296" s="23">
        <v>0.34300000000000003</v>
      </c>
      <c r="M296" s="21">
        <v>0.99299999999999999</v>
      </c>
      <c r="N296" s="19" t="str">
        <f>IF(G296&gt;='Resumen Ejecutivo'!$C$8, "CRÍTICA", IF(G296&gt;='Resumen Ejecutivo'!$C$7, "TEMPRANA", "NORMAL"))</f>
        <v>NORMAL</v>
      </c>
    </row>
    <row r="297" spans="2:14" x14ac:dyDescent="0.25">
      <c r="B297" s="14">
        <v>293</v>
      </c>
      <c r="C297" s="14" t="s">
        <v>122</v>
      </c>
      <c r="D297" s="14" t="s">
        <v>123</v>
      </c>
      <c r="E297" s="14" t="s">
        <v>108</v>
      </c>
      <c r="F297" s="15">
        <v>1</v>
      </c>
      <c r="G297" s="15">
        <v>1</v>
      </c>
      <c r="H297" s="15">
        <f t="shared" si="12"/>
        <v>0</v>
      </c>
      <c r="I297" s="15">
        <f t="shared" si="13"/>
        <v>0</v>
      </c>
      <c r="J297" s="16">
        <f t="shared" si="14"/>
        <v>0</v>
      </c>
      <c r="K297" s="17">
        <v>28.3</v>
      </c>
      <c r="L297" s="18">
        <v>0.36</v>
      </c>
      <c r="M297" s="16">
        <v>0.95799999999999996</v>
      </c>
      <c r="N297" s="14" t="str">
        <f>IF(G297&gt;='Resumen Ejecutivo'!$C$8, "CRÍTICA", IF(G297&gt;='Resumen Ejecutivo'!$C$7, "TEMPRANA", "NORMAL"))</f>
        <v>NORMAL</v>
      </c>
    </row>
    <row r="298" spans="2:14" x14ac:dyDescent="0.25">
      <c r="B298" s="19">
        <v>294</v>
      </c>
      <c r="C298" s="19" t="s">
        <v>122</v>
      </c>
      <c r="D298" s="19" t="s">
        <v>123</v>
      </c>
      <c r="E298" s="19" t="s">
        <v>109</v>
      </c>
      <c r="F298" s="20">
        <v>4</v>
      </c>
      <c r="G298" s="20">
        <v>4</v>
      </c>
      <c r="H298" s="20">
        <f t="shared" si="12"/>
        <v>0</v>
      </c>
      <c r="I298" s="20">
        <f t="shared" si="13"/>
        <v>0</v>
      </c>
      <c r="J298" s="21">
        <f t="shared" si="14"/>
        <v>0</v>
      </c>
      <c r="K298" s="22">
        <v>26.9</v>
      </c>
      <c r="L298" s="23">
        <v>0.36299999999999999</v>
      </c>
      <c r="M298" s="21">
        <v>0.996</v>
      </c>
      <c r="N298" s="19" t="str">
        <f>IF(G298&gt;='Resumen Ejecutivo'!$C$8, "CRÍTICA", IF(G298&gt;='Resumen Ejecutivo'!$C$7, "TEMPRANA", "NORMAL"))</f>
        <v>NORMAL</v>
      </c>
    </row>
    <row r="299" spans="2:14" x14ac:dyDescent="0.25">
      <c r="B299" s="14">
        <v>295</v>
      </c>
      <c r="C299" s="14" t="s">
        <v>122</v>
      </c>
      <c r="D299" s="14" t="s">
        <v>123</v>
      </c>
      <c r="E299" s="14" t="s">
        <v>110</v>
      </c>
      <c r="F299" s="15">
        <v>4</v>
      </c>
      <c r="G299" s="15">
        <v>4</v>
      </c>
      <c r="H299" s="15">
        <f t="shared" si="12"/>
        <v>0</v>
      </c>
      <c r="I299" s="15">
        <f t="shared" si="13"/>
        <v>0</v>
      </c>
      <c r="J299" s="16">
        <f t="shared" si="14"/>
        <v>0</v>
      </c>
      <c r="K299" s="17">
        <v>27.3</v>
      </c>
      <c r="L299" s="18">
        <v>0.36299999999999999</v>
      </c>
      <c r="M299" s="16">
        <v>0.98299999999999998</v>
      </c>
      <c r="N299" s="14" t="str">
        <f>IF(G299&gt;='Resumen Ejecutivo'!$C$8, "CRÍTICA", IF(G299&gt;='Resumen Ejecutivo'!$C$7, "TEMPRANA", "NORMAL"))</f>
        <v>NORMAL</v>
      </c>
    </row>
    <row r="300" spans="2:14" x14ac:dyDescent="0.25">
      <c r="B300" s="19">
        <v>296</v>
      </c>
      <c r="C300" s="19" t="s">
        <v>122</v>
      </c>
      <c r="D300" s="19" t="s">
        <v>123</v>
      </c>
      <c r="E300" s="19" t="s">
        <v>111</v>
      </c>
      <c r="F300" s="20">
        <v>4</v>
      </c>
      <c r="G300" s="20">
        <v>4</v>
      </c>
      <c r="H300" s="20">
        <f t="shared" si="12"/>
        <v>0</v>
      </c>
      <c r="I300" s="20">
        <f t="shared" si="13"/>
        <v>0</v>
      </c>
      <c r="J300" s="21">
        <f t="shared" si="14"/>
        <v>0</v>
      </c>
      <c r="K300" s="22">
        <v>27</v>
      </c>
      <c r="L300" s="23">
        <v>0.36499999999999999</v>
      </c>
      <c r="M300" s="21">
        <v>0.95399999999999996</v>
      </c>
      <c r="N300" s="19" t="str">
        <f>IF(G300&gt;='Resumen Ejecutivo'!$C$8, "CRÍTICA", IF(G300&gt;='Resumen Ejecutivo'!$C$7, "TEMPRANA", "NORMAL"))</f>
        <v>NORMAL</v>
      </c>
    </row>
    <row r="301" spans="2:14" x14ac:dyDescent="0.25">
      <c r="B301" s="14">
        <v>297</v>
      </c>
      <c r="C301" s="14" t="s">
        <v>122</v>
      </c>
      <c r="D301" s="14" t="s">
        <v>123</v>
      </c>
      <c r="E301" s="14" t="s">
        <v>112</v>
      </c>
      <c r="F301" s="15">
        <v>1</v>
      </c>
      <c r="G301" s="15">
        <v>1</v>
      </c>
      <c r="H301" s="15">
        <f t="shared" si="12"/>
        <v>0</v>
      </c>
      <c r="I301" s="15">
        <f t="shared" si="13"/>
        <v>0</v>
      </c>
      <c r="J301" s="16">
        <f t="shared" si="14"/>
        <v>0</v>
      </c>
      <c r="K301" s="17">
        <v>27.7</v>
      </c>
      <c r="L301" s="18">
        <v>0.36199999999999999</v>
      </c>
      <c r="M301" s="16">
        <v>0.96599999999999997</v>
      </c>
      <c r="N301" s="14" t="str">
        <f>IF(G301&gt;='Resumen Ejecutivo'!$C$8, "CRÍTICA", IF(G301&gt;='Resumen Ejecutivo'!$C$7, "TEMPRANA", "NORMAL"))</f>
        <v>NORMAL</v>
      </c>
    </row>
    <row r="302" spans="2:14" x14ac:dyDescent="0.25">
      <c r="B302" s="19">
        <v>298</v>
      </c>
      <c r="C302" s="19" t="s">
        <v>122</v>
      </c>
      <c r="D302" s="19" t="s">
        <v>123</v>
      </c>
      <c r="E302" s="19" t="s">
        <v>113</v>
      </c>
      <c r="F302" s="20">
        <v>3</v>
      </c>
      <c r="G302" s="20">
        <v>3</v>
      </c>
      <c r="H302" s="20">
        <f t="shared" si="12"/>
        <v>0</v>
      </c>
      <c r="I302" s="20">
        <f t="shared" si="13"/>
        <v>0</v>
      </c>
      <c r="J302" s="21">
        <f t="shared" si="14"/>
        <v>0</v>
      </c>
      <c r="K302" s="22">
        <v>27</v>
      </c>
      <c r="L302" s="23">
        <v>0.36499999999999999</v>
      </c>
      <c r="M302" s="21">
        <v>0.997</v>
      </c>
      <c r="N302" s="19" t="str">
        <f>IF(G302&gt;='Resumen Ejecutivo'!$C$8, "CRÍTICA", IF(G302&gt;='Resumen Ejecutivo'!$C$7, "TEMPRANA", "NORMAL"))</f>
        <v>NORMAL</v>
      </c>
    </row>
    <row r="303" spans="2:14" x14ac:dyDescent="0.25">
      <c r="B303" s="14">
        <v>299</v>
      </c>
      <c r="C303" s="14" t="s">
        <v>122</v>
      </c>
      <c r="D303" s="14" t="s">
        <v>123</v>
      </c>
      <c r="E303" s="14" t="s">
        <v>114</v>
      </c>
      <c r="F303" s="15">
        <v>5</v>
      </c>
      <c r="G303" s="15">
        <v>5</v>
      </c>
      <c r="H303" s="15">
        <f t="shared" si="12"/>
        <v>0</v>
      </c>
      <c r="I303" s="15">
        <f t="shared" si="13"/>
        <v>0</v>
      </c>
      <c r="J303" s="16">
        <f t="shared" si="14"/>
        <v>0</v>
      </c>
      <c r="K303" s="17">
        <v>28.4</v>
      </c>
      <c r="L303" s="18">
        <v>0.376</v>
      </c>
      <c r="M303" s="16">
        <v>0.95499999999999996</v>
      </c>
      <c r="N303" s="14" t="str">
        <f>IF(G303&gt;='Resumen Ejecutivo'!$C$8, "CRÍTICA", IF(G303&gt;='Resumen Ejecutivo'!$C$7, "TEMPRANA", "NORMAL"))</f>
        <v>NORMAL</v>
      </c>
    </row>
    <row r="304" spans="2:14" x14ac:dyDescent="0.25">
      <c r="B304" s="19">
        <v>300</v>
      </c>
      <c r="C304" s="19" t="s">
        <v>122</v>
      </c>
      <c r="D304" s="19" t="s">
        <v>123</v>
      </c>
      <c r="E304" s="19" t="s">
        <v>115</v>
      </c>
      <c r="F304" s="20">
        <v>1</v>
      </c>
      <c r="G304" s="20">
        <v>1</v>
      </c>
      <c r="H304" s="20">
        <f t="shared" si="12"/>
        <v>0</v>
      </c>
      <c r="I304" s="20">
        <f t="shared" si="13"/>
        <v>0</v>
      </c>
      <c r="J304" s="21">
        <f t="shared" si="14"/>
        <v>0</v>
      </c>
      <c r="K304" s="22">
        <v>27.9</v>
      </c>
      <c r="L304" s="23">
        <v>0.35499999999999998</v>
      </c>
      <c r="M304" s="21">
        <v>0.95099999999999996</v>
      </c>
      <c r="N304" s="19" t="str">
        <f>IF(G304&gt;='Resumen Ejecutivo'!$C$8, "CRÍTICA", IF(G304&gt;='Resumen Ejecutivo'!$C$7, "TEMPRANA", "NORMAL"))</f>
        <v>NORMAL</v>
      </c>
    </row>
    <row r="305" spans="2:14" x14ac:dyDescent="0.25">
      <c r="B305" s="14">
        <v>301</v>
      </c>
      <c r="C305" s="14" t="s">
        <v>124</v>
      </c>
      <c r="D305" s="14" t="s">
        <v>125</v>
      </c>
      <c r="E305" s="14" t="s">
        <v>56</v>
      </c>
      <c r="F305" s="15">
        <v>0</v>
      </c>
      <c r="G305" s="15">
        <v>1</v>
      </c>
      <c r="H305" s="15">
        <f t="shared" si="12"/>
        <v>1</v>
      </c>
      <c r="I305" s="15">
        <f t="shared" si="13"/>
        <v>1</v>
      </c>
      <c r="J305" s="16">
        <f t="shared" si="14"/>
        <v>0</v>
      </c>
      <c r="K305" s="17">
        <v>27.6</v>
      </c>
      <c r="L305" s="18">
        <v>0.36099999999999999</v>
      </c>
      <c r="M305" s="16">
        <v>0.995</v>
      </c>
      <c r="N305" s="14" t="str">
        <f>IF(G305&gt;='Resumen Ejecutivo'!$C$8, "CRÍTICA", IF(G305&gt;='Resumen Ejecutivo'!$C$7, "TEMPRANA", "NORMAL"))</f>
        <v>NORMAL</v>
      </c>
    </row>
    <row r="306" spans="2:14" x14ac:dyDescent="0.25">
      <c r="B306" s="19">
        <v>302</v>
      </c>
      <c r="C306" s="19" t="s">
        <v>124</v>
      </c>
      <c r="D306" s="19" t="s">
        <v>125</v>
      </c>
      <c r="E306" s="19" t="s">
        <v>57</v>
      </c>
      <c r="F306" s="20">
        <v>2</v>
      </c>
      <c r="G306" s="20">
        <v>2</v>
      </c>
      <c r="H306" s="20">
        <f t="shared" si="12"/>
        <v>0</v>
      </c>
      <c r="I306" s="20">
        <f t="shared" si="13"/>
        <v>0</v>
      </c>
      <c r="J306" s="21">
        <f t="shared" si="14"/>
        <v>0</v>
      </c>
      <c r="K306" s="22">
        <v>26.8</v>
      </c>
      <c r="L306" s="23">
        <v>0.34100000000000003</v>
      </c>
      <c r="M306" s="21">
        <v>0.95699999999999996</v>
      </c>
      <c r="N306" s="19" t="str">
        <f>IF(G306&gt;='Resumen Ejecutivo'!$C$8, "CRÍTICA", IF(G306&gt;='Resumen Ejecutivo'!$C$7, "TEMPRANA", "NORMAL"))</f>
        <v>NORMAL</v>
      </c>
    </row>
    <row r="307" spans="2:14" x14ac:dyDescent="0.25">
      <c r="B307" s="14">
        <v>303</v>
      </c>
      <c r="C307" s="14" t="s">
        <v>124</v>
      </c>
      <c r="D307" s="14" t="s">
        <v>125</v>
      </c>
      <c r="E307" s="14" t="s">
        <v>58</v>
      </c>
      <c r="F307" s="15">
        <v>3</v>
      </c>
      <c r="G307" s="15">
        <v>3</v>
      </c>
      <c r="H307" s="15">
        <f t="shared" si="12"/>
        <v>0</v>
      </c>
      <c r="I307" s="15">
        <f t="shared" si="13"/>
        <v>0</v>
      </c>
      <c r="J307" s="16">
        <f t="shared" si="14"/>
        <v>0</v>
      </c>
      <c r="K307" s="17">
        <v>28.3</v>
      </c>
      <c r="L307" s="18">
        <v>0.36</v>
      </c>
      <c r="M307" s="16">
        <v>0.97099999999999997</v>
      </c>
      <c r="N307" s="14" t="str">
        <f>IF(G307&gt;='Resumen Ejecutivo'!$C$8, "CRÍTICA", IF(G307&gt;='Resumen Ejecutivo'!$C$7, "TEMPRANA", "NORMAL"))</f>
        <v>NORMAL</v>
      </c>
    </row>
    <row r="308" spans="2:14" x14ac:dyDescent="0.25">
      <c r="B308" s="19">
        <v>304</v>
      </c>
      <c r="C308" s="19" t="s">
        <v>124</v>
      </c>
      <c r="D308" s="19" t="s">
        <v>125</v>
      </c>
      <c r="E308" s="19" t="s">
        <v>59</v>
      </c>
      <c r="F308" s="20">
        <v>3</v>
      </c>
      <c r="G308" s="20">
        <v>3</v>
      </c>
      <c r="H308" s="20">
        <f t="shared" si="12"/>
        <v>0</v>
      </c>
      <c r="I308" s="20">
        <f t="shared" si="13"/>
        <v>0</v>
      </c>
      <c r="J308" s="21">
        <f t="shared" si="14"/>
        <v>0</v>
      </c>
      <c r="K308" s="22">
        <v>28</v>
      </c>
      <c r="L308" s="23">
        <v>0.34200000000000003</v>
      </c>
      <c r="M308" s="21">
        <v>0.95599999999999996</v>
      </c>
      <c r="N308" s="19" t="str">
        <f>IF(G308&gt;='Resumen Ejecutivo'!$C$8, "CRÍTICA", IF(G308&gt;='Resumen Ejecutivo'!$C$7, "TEMPRANA", "NORMAL"))</f>
        <v>NORMAL</v>
      </c>
    </row>
    <row r="309" spans="2:14" x14ac:dyDescent="0.25">
      <c r="B309" s="14">
        <v>305</v>
      </c>
      <c r="C309" s="14" t="s">
        <v>124</v>
      </c>
      <c r="D309" s="14" t="s">
        <v>125</v>
      </c>
      <c r="E309" s="14" t="s">
        <v>60</v>
      </c>
      <c r="F309" s="15">
        <v>2</v>
      </c>
      <c r="G309" s="15">
        <v>2</v>
      </c>
      <c r="H309" s="15">
        <f t="shared" si="12"/>
        <v>0</v>
      </c>
      <c r="I309" s="15">
        <f t="shared" si="13"/>
        <v>0</v>
      </c>
      <c r="J309" s="16">
        <f t="shared" si="14"/>
        <v>0</v>
      </c>
      <c r="K309" s="17">
        <v>27.2</v>
      </c>
      <c r="L309" s="18">
        <v>0.36199999999999999</v>
      </c>
      <c r="M309" s="16">
        <v>0.98099999999999998</v>
      </c>
      <c r="N309" s="14" t="str">
        <f>IF(G309&gt;='Resumen Ejecutivo'!$C$8, "CRÍTICA", IF(G309&gt;='Resumen Ejecutivo'!$C$7, "TEMPRANA", "NORMAL"))</f>
        <v>NORMAL</v>
      </c>
    </row>
    <row r="310" spans="2:14" x14ac:dyDescent="0.25">
      <c r="B310" s="19">
        <v>306</v>
      </c>
      <c r="C310" s="19" t="s">
        <v>124</v>
      </c>
      <c r="D310" s="19" t="s">
        <v>125</v>
      </c>
      <c r="E310" s="19" t="s">
        <v>61</v>
      </c>
      <c r="F310" s="20">
        <v>1</v>
      </c>
      <c r="G310" s="20">
        <v>1</v>
      </c>
      <c r="H310" s="20">
        <f t="shared" si="12"/>
        <v>0</v>
      </c>
      <c r="I310" s="20">
        <f t="shared" si="13"/>
        <v>0</v>
      </c>
      <c r="J310" s="21">
        <f t="shared" si="14"/>
        <v>0</v>
      </c>
      <c r="K310" s="22">
        <v>26.9</v>
      </c>
      <c r="L310" s="23">
        <v>0.372</v>
      </c>
      <c r="M310" s="21">
        <v>0.97499999999999998</v>
      </c>
      <c r="N310" s="19" t="str">
        <f>IF(G310&gt;='Resumen Ejecutivo'!$C$8, "CRÍTICA", IF(G310&gt;='Resumen Ejecutivo'!$C$7, "TEMPRANA", "NORMAL"))</f>
        <v>NORMAL</v>
      </c>
    </row>
    <row r="311" spans="2:14" x14ac:dyDescent="0.25">
      <c r="B311" s="14">
        <v>307</v>
      </c>
      <c r="C311" s="14" t="s">
        <v>124</v>
      </c>
      <c r="D311" s="14" t="s">
        <v>125</v>
      </c>
      <c r="E311" s="14" t="s">
        <v>62</v>
      </c>
      <c r="F311" s="15">
        <v>0</v>
      </c>
      <c r="G311" s="15">
        <v>0</v>
      </c>
      <c r="H311" s="15">
        <f t="shared" si="12"/>
        <v>0</v>
      </c>
      <c r="I311" s="15">
        <f t="shared" si="13"/>
        <v>0</v>
      </c>
      <c r="J311" s="16">
        <f t="shared" si="14"/>
        <v>0</v>
      </c>
      <c r="K311" s="17">
        <v>27.7</v>
      </c>
      <c r="L311" s="18">
        <v>0.36199999999999999</v>
      </c>
      <c r="M311" s="16">
        <v>0.97899999999999998</v>
      </c>
      <c r="N311" s="14" t="str">
        <f>IF(G311&gt;='Resumen Ejecutivo'!$C$8, "CRÍTICA", IF(G311&gt;='Resumen Ejecutivo'!$C$7, "TEMPRANA", "NORMAL"))</f>
        <v>NORMAL</v>
      </c>
    </row>
    <row r="312" spans="2:14" x14ac:dyDescent="0.25">
      <c r="B312" s="19">
        <v>308</v>
      </c>
      <c r="C312" s="19" t="s">
        <v>124</v>
      </c>
      <c r="D312" s="19" t="s">
        <v>125</v>
      </c>
      <c r="E312" s="19" t="s">
        <v>63</v>
      </c>
      <c r="F312" s="20">
        <v>1</v>
      </c>
      <c r="G312" s="20">
        <v>1</v>
      </c>
      <c r="H312" s="20">
        <f t="shared" si="12"/>
        <v>0</v>
      </c>
      <c r="I312" s="20">
        <f t="shared" si="13"/>
        <v>0</v>
      </c>
      <c r="J312" s="21">
        <f t="shared" si="14"/>
        <v>0</v>
      </c>
      <c r="K312" s="22">
        <v>27.9</v>
      </c>
      <c r="L312" s="23">
        <v>0.34499999999999997</v>
      </c>
      <c r="M312" s="21">
        <v>0.95</v>
      </c>
      <c r="N312" s="19" t="str">
        <f>IF(G312&gt;='Resumen Ejecutivo'!$C$8, "CRÍTICA", IF(G312&gt;='Resumen Ejecutivo'!$C$7, "TEMPRANA", "NORMAL"))</f>
        <v>NORMAL</v>
      </c>
    </row>
    <row r="313" spans="2:14" x14ac:dyDescent="0.25">
      <c r="B313" s="14">
        <v>309</v>
      </c>
      <c r="C313" s="14" t="s">
        <v>124</v>
      </c>
      <c r="D313" s="14" t="s">
        <v>125</v>
      </c>
      <c r="E313" s="14" t="s">
        <v>64</v>
      </c>
      <c r="F313" s="15">
        <v>2</v>
      </c>
      <c r="G313" s="15">
        <v>3</v>
      </c>
      <c r="H313" s="15">
        <f t="shared" si="12"/>
        <v>1</v>
      </c>
      <c r="I313" s="15">
        <f t="shared" si="13"/>
        <v>1</v>
      </c>
      <c r="J313" s="16">
        <f t="shared" si="14"/>
        <v>0.5</v>
      </c>
      <c r="K313" s="17">
        <v>27.4</v>
      </c>
      <c r="L313" s="18">
        <v>0.35899999999999999</v>
      </c>
      <c r="M313" s="16">
        <v>0.95899999999999996</v>
      </c>
      <c r="N313" s="14" t="str">
        <f>IF(G313&gt;='Resumen Ejecutivo'!$C$8, "CRÍTICA", IF(G313&gt;='Resumen Ejecutivo'!$C$7, "TEMPRANA", "NORMAL"))</f>
        <v>NORMAL</v>
      </c>
    </row>
    <row r="314" spans="2:14" x14ac:dyDescent="0.25">
      <c r="B314" s="19">
        <v>310</v>
      </c>
      <c r="C314" s="19" t="s">
        <v>124</v>
      </c>
      <c r="D314" s="19" t="s">
        <v>125</v>
      </c>
      <c r="E314" s="19" t="s">
        <v>65</v>
      </c>
      <c r="F314" s="20">
        <v>0</v>
      </c>
      <c r="G314" s="20">
        <v>0</v>
      </c>
      <c r="H314" s="20">
        <f t="shared" si="12"/>
        <v>0</v>
      </c>
      <c r="I314" s="20">
        <f t="shared" si="13"/>
        <v>0</v>
      </c>
      <c r="J314" s="21">
        <f t="shared" si="14"/>
        <v>0</v>
      </c>
      <c r="K314" s="22">
        <v>27.9</v>
      </c>
      <c r="L314" s="23">
        <v>0.35599999999999998</v>
      </c>
      <c r="M314" s="21">
        <v>0.96799999999999997</v>
      </c>
      <c r="N314" s="19" t="str">
        <f>IF(G314&gt;='Resumen Ejecutivo'!$C$8, "CRÍTICA", IF(G314&gt;='Resumen Ejecutivo'!$C$7, "TEMPRANA", "NORMAL"))</f>
        <v>NORMAL</v>
      </c>
    </row>
    <row r="315" spans="2:14" x14ac:dyDescent="0.25">
      <c r="B315" s="14">
        <v>311</v>
      </c>
      <c r="C315" s="14" t="s">
        <v>124</v>
      </c>
      <c r="D315" s="14" t="s">
        <v>125</v>
      </c>
      <c r="E315" s="14" t="s">
        <v>66</v>
      </c>
      <c r="F315" s="15">
        <v>0</v>
      </c>
      <c r="G315" s="15">
        <v>0</v>
      </c>
      <c r="H315" s="15">
        <f t="shared" si="12"/>
        <v>0</v>
      </c>
      <c r="I315" s="15">
        <f t="shared" si="13"/>
        <v>0</v>
      </c>
      <c r="J315" s="16">
        <f t="shared" si="14"/>
        <v>0</v>
      </c>
      <c r="K315" s="17">
        <v>28.3</v>
      </c>
      <c r="L315" s="18">
        <v>0.35699999999999998</v>
      </c>
      <c r="M315" s="16">
        <v>0.98899999999999999</v>
      </c>
      <c r="N315" s="14" t="str">
        <f>IF(G315&gt;='Resumen Ejecutivo'!$C$8, "CRÍTICA", IF(G315&gt;='Resumen Ejecutivo'!$C$7, "TEMPRANA", "NORMAL"))</f>
        <v>NORMAL</v>
      </c>
    </row>
    <row r="316" spans="2:14" x14ac:dyDescent="0.25">
      <c r="B316" s="19">
        <v>312</v>
      </c>
      <c r="C316" s="19" t="s">
        <v>124</v>
      </c>
      <c r="D316" s="19" t="s">
        <v>125</v>
      </c>
      <c r="E316" s="19" t="s">
        <v>67</v>
      </c>
      <c r="F316" s="20">
        <v>1</v>
      </c>
      <c r="G316" s="20">
        <v>1</v>
      </c>
      <c r="H316" s="20">
        <f t="shared" si="12"/>
        <v>0</v>
      </c>
      <c r="I316" s="20">
        <f t="shared" si="13"/>
        <v>0</v>
      </c>
      <c r="J316" s="21">
        <f t="shared" si="14"/>
        <v>0</v>
      </c>
      <c r="K316" s="22">
        <v>27.6</v>
      </c>
      <c r="L316" s="23">
        <v>0.33100000000000002</v>
      </c>
      <c r="M316" s="21">
        <v>0.99399999999999999</v>
      </c>
      <c r="N316" s="19" t="str">
        <f>IF(G316&gt;='Resumen Ejecutivo'!$C$8, "CRÍTICA", IF(G316&gt;='Resumen Ejecutivo'!$C$7, "TEMPRANA", "NORMAL"))</f>
        <v>NORMAL</v>
      </c>
    </row>
    <row r="317" spans="2:14" x14ac:dyDescent="0.25">
      <c r="B317" s="14">
        <v>313</v>
      </c>
      <c r="C317" s="14" t="s">
        <v>124</v>
      </c>
      <c r="D317" s="14" t="s">
        <v>125</v>
      </c>
      <c r="E317" s="14" t="s">
        <v>68</v>
      </c>
      <c r="F317" s="15">
        <v>3</v>
      </c>
      <c r="G317" s="15">
        <v>3</v>
      </c>
      <c r="H317" s="15">
        <f t="shared" si="12"/>
        <v>0</v>
      </c>
      <c r="I317" s="15">
        <f t="shared" si="13"/>
        <v>0</v>
      </c>
      <c r="J317" s="16">
        <f t="shared" si="14"/>
        <v>0</v>
      </c>
      <c r="K317" s="17">
        <v>26.9</v>
      </c>
      <c r="L317" s="18">
        <v>0.34899999999999998</v>
      </c>
      <c r="M317" s="16">
        <v>0.96899999999999997</v>
      </c>
      <c r="N317" s="14" t="str">
        <f>IF(G317&gt;='Resumen Ejecutivo'!$C$8, "CRÍTICA", IF(G317&gt;='Resumen Ejecutivo'!$C$7, "TEMPRANA", "NORMAL"))</f>
        <v>NORMAL</v>
      </c>
    </row>
    <row r="318" spans="2:14" x14ac:dyDescent="0.25">
      <c r="B318" s="19">
        <v>314</v>
      </c>
      <c r="C318" s="19" t="s">
        <v>124</v>
      </c>
      <c r="D318" s="19" t="s">
        <v>125</v>
      </c>
      <c r="E318" s="19" t="s">
        <v>69</v>
      </c>
      <c r="F318" s="20">
        <v>2</v>
      </c>
      <c r="G318" s="20">
        <v>2</v>
      </c>
      <c r="H318" s="20">
        <f t="shared" si="12"/>
        <v>0</v>
      </c>
      <c r="I318" s="20">
        <f t="shared" si="13"/>
        <v>0</v>
      </c>
      <c r="J318" s="21">
        <f t="shared" si="14"/>
        <v>0</v>
      </c>
      <c r="K318" s="22">
        <v>28</v>
      </c>
      <c r="L318" s="23">
        <v>0.34799999999999998</v>
      </c>
      <c r="M318" s="21">
        <v>0.95299999999999996</v>
      </c>
      <c r="N318" s="19" t="str">
        <f>IF(G318&gt;='Resumen Ejecutivo'!$C$8, "CRÍTICA", IF(G318&gt;='Resumen Ejecutivo'!$C$7, "TEMPRANA", "NORMAL"))</f>
        <v>NORMAL</v>
      </c>
    </row>
    <row r="319" spans="2:14" x14ac:dyDescent="0.25">
      <c r="B319" s="14">
        <v>315</v>
      </c>
      <c r="C319" s="14" t="s">
        <v>124</v>
      </c>
      <c r="D319" s="14" t="s">
        <v>125</v>
      </c>
      <c r="E319" s="14" t="s">
        <v>70</v>
      </c>
      <c r="F319" s="15">
        <v>1</v>
      </c>
      <c r="G319" s="15">
        <v>1</v>
      </c>
      <c r="H319" s="15">
        <f t="shared" si="12"/>
        <v>0</v>
      </c>
      <c r="I319" s="15">
        <f t="shared" si="13"/>
        <v>0</v>
      </c>
      <c r="J319" s="16">
        <f t="shared" si="14"/>
        <v>0</v>
      </c>
      <c r="K319" s="17">
        <v>27.2</v>
      </c>
      <c r="L319" s="18">
        <v>0.36299999999999999</v>
      </c>
      <c r="M319" s="16">
        <v>0.95499999999999996</v>
      </c>
      <c r="N319" s="14" t="str">
        <f>IF(G319&gt;='Resumen Ejecutivo'!$C$8, "CRÍTICA", IF(G319&gt;='Resumen Ejecutivo'!$C$7, "TEMPRANA", "NORMAL"))</f>
        <v>NORMAL</v>
      </c>
    </row>
    <row r="320" spans="2:14" x14ac:dyDescent="0.25">
      <c r="B320" s="19">
        <v>316</v>
      </c>
      <c r="C320" s="19" t="s">
        <v>124</v>
      </c>
      <c r="D320" s="19" t="s">
        <v>125</v>
      </c>
      <c r="E320" s="19" t="s">
        <v>71</v>
      </c>
      <c r="F320" s="20">
        <v>2</v>
      </c>
      <c r="G320" s="20">
        <v>2</v>
      </c>
      <c r="H320" s="20">
        <f t="shared" si="12"/>
        <v>0</v>
      </c>
      <c r="I320" s="20">
        <f t="shared" si="13"/>
        <v>0</v>
      </c>
      <c r="J320" s="21">
        <f t="shared" si="14"/>
        <v>0</v>
      </c>
      <c r="K320" s="22">
        <v>27.7</v>
      </c>
      <c r="L320" s="23">
        <v>0.36799999999999999</v>
      </c>
      <c r="M320" s="21">
        <v>0.95699999999999996</v>
      </c>
      <c r="N320" s="19" t="str">
        <f>IF(G320&gt;='Resumen Ejecutivo'!$C$8, "CRÍTICA", IF(G320&gt;='Resumen Ejecutivo'!$C$7, "TEMPRANA", "NORMAL"))</f>
        <v>NORMAL</v>
      </c>
    </row>
    <row r="321" spans="2:14" x14ac:dyDescent="0.25">
      <c r="B321" s="14">
        <v>317</v>
      </c>
      <c r="C321" s="14" t="s">
        <v>124</v>
      </c>
      <c r="D321" s="14" t="s">
        <v>125</v>
      </c>
      <c r="E321" s="14" t="s">
        <v>72</v>
      </c>
      <c r="F321" s="15">
        <v>1</v>
      </c>
      <c r="G321" s="15">
        <v>1</v>
      </c>
      <c r="H321" s="15">
        <f t="shared" si="12"/>
        <v>0</v>
      </c>
      <c r="I321" s="15">
        <f t="shared" si="13"/>
        <v>0</v>
      </c>
      <c r="J321" s="16">
        <f t="shared" si="14"/>
        <v>0</v>
      </c>
      <c r="K321" s="17">
        <v>27.4</v>
      </c>
      <c r="L321" s="18">
        <v>0.34699999999999998</v>
      </c>
      <c r="M321" s="16">
        <v>0.98199999999999998</v>
      </c>
      <c r="N321" s="14" t="str">
        <f>IF(G321&gt;='Resumen Ejecutivo'!$C$8, "CRÍTICA", IF(G321&gt;='Resumen Ejecutivo'!$C$7, "TEMPRANA", "NORMAL"))</f>
        <v>NORMAL</v>
      </c>
    </row>
    <row r="322" spans="2:14" x14ac:dyDescent="0.25">
      <c r="B322" s="19">
        <v>318</v>
      </c>
      <c r="C322" s="19" t="s">
        <v>124</v>
      </c>
      <c r="D322" s="19" t="s">
        <v>125</v>
      </c>
      <c r="E322" s="19" t="s">
        <v>73</v>
      </c>
      <c r="F322" s="20">
        <v>6</v>
      </c>
      <c r="G322" s="20">
        <v>6</v>
      </c>
      <c r="H322" s="20">
        <f t="shared" si="12"/>
        <v>0</v>
      </c>
      <c r="I322" s="20">
        <f t="shared" si="13"/>
        <v>0</v>
      </c>
      <c r="J322" s="21">
        <f t="shared" si="14"/>
        <v>0</v>
      </c>
      <c r="K322" s="22">
        <v>28.1</v>
      </c>
      <c r="L322" s="23">
        <v>0.36399999999999999</v>
      </c>
      <c r="M322" s="21">
        <v>0.999</v>
      </c>
      <c r="N322" s="19" t="str">
        <f>IF(G322&gt;='Resumen Ejecutivo'!$C$8, "CRÍTICA", IF(G322&gt;='Resumen Ejecutivo'!$C$7, "TEMPRANA", "NORMAL"))</f>
        <v>NORMAL</v>
      </c>
    </row>
    <row r="323" spans="2:14" x14ac:dyDescent="0.25">
      <c r="B323" s="14">
        <v>319</v>
      </c>
      <c r="C323" s="14" t="s">
        <v>124</v>
      </c>
      <c r="D323" s="14" t="s">
        <v>125</v>
      </c>
      <c r="E323" s="14" t="s">
        <v>74</v>
      </c>
      <c r="F323" s="15">
        <v>3</v>
      </c>
      <c r="G323" s="15">
        <v>2</v>
      </c>
      <c r="H323" s="15">
        <f t="shared" si="12"/>
        <v>1</v>
      </c>
      <c r="I323" s="15">
        <f t="shared" si="13"/>
        <v>1</v>
      </c>
      <c r="J323" s="16">
        <f t="shared" si="14"/>
        <v>0.33333333333333331</v>
      </c>
      <c r="K323" s="17">
        <v>27.6</v>
      </c>
      <c r="L323" s="18">
        <v>0.33900000000000002</v>
      </c>
      <c r="M323" s="16">
        <v>0.95699999999999996</v>
      </c>
      <c r="N323" s="14" t="str">
        <f>IF(G323&gt;='Resumen Ejecutivo'!$C$8, "CRÍTICA", IF(G323&gt;='Resumen Ejecutivo'!$C$7, "TEMPRANA", "NORMAL"))</f>
        <v>NORMAL</v>
      </c>
    </row>
    <row r="324" spans="2:14" x14ac:dyDescent="0.25">
      <c r="B324" s="19">
        <v>320</v>
      </c>
      <c r="C324" s="19" t="s">
        <v>124</v>
      </c>
      <c r="D324" s="19" t="s">
        <v>125</v>
      </c>
      <c r="E324" s="19" t="s">
        <v>75</v>
      </c>
      <c r="F324" s="20">
        <v>2</v>
      </c>
      <c r="G324" s="20">
        <v>2</v>
      </c>
      <c r="H324" s="20">
        <f t="shared" si="12"/>
        <v>0</v>
      </c>
      <c r="I324" s="20">
        <f t="shared" si="13"/>
        <v>0</v>
      </c>
      <c r="J324" s="21">
        <f t="shared" si="14"/>
        <v>0</v>
      </c>
      <c r="K324" s="22">
        <v>27.9</v>
      </c>
      <c r="L324" s="23">
        <v>0.377</v>
      </c>
      <c r="M324" s="21">
        <v>0.95199999999999996</v>
      </c>
      <c r="N324" s="19" t="str">
        <f>IF(G324&gt;='Resumen Ejecutivo'!$C$8, "CRÍTICA", IF(G324&gt;='Resumen Ejecutivo'!$C$7, "TEMPRANA", "NORMAL"))</f>
        <v>NORMAL</v>
      </c>
    </row>
    <row r="325" spans="2:14" x14ac:dyDescent="0.25">
      <c r="B325" s="14">
        <v>321</v>
      </c>
      <c r="C325" s="14" t="s">
        <v>124</v>
      </c>
      <c r="D325" s="14" t="s">
        <v>125</v>
      </c>
      <c r="E325" s="14" t="s">
        <v>76</v>
      </c>
      <c r="F325" s="15">
        <v>3</v>
      </c>
      <c r="G325" s="15">
        <v>3</v>
      </c>
      <c r="H325" s="15">
        <f t="shared" ref="H325:H388" si="15">ABS(G325-F325)</f>
        <v>0</v>
      </c>
      <c r="I325" s="15">
        <f t="shared" ref="I325:I388" si="16">(G325-F325)^2</f>
        <v>0</v>
      </c>
      <c r="J325" s="16">
        <f t="shared" ref="J325:J388" si="17">IFERROR(H325/F325,0)</f>
        <v>0</v>
      </c>
      <c r="K325" s="17">
        <v>27.1</v>
      </c>
      <c r="L325" s="18">
        <v>0.37</v>
      </c>
      <c r="M325" s="16">
        <v>0.99399999999999999</v>
      </c>
      <c r="N325" s="14" t="str">
        <f>IF(G325&gt;='Resumen Ejecutivo'!$C$8, "CRÍTICA", IF(G325&gt;='Resumen Ejecutivo'!$C$7, "TEMPRANA", "NORMAL"))</f>
        <v>NORMAL</v>
      </c>
    </row>
    <row r="326" spans="2:14" x14ac:dyDescent="0.25">
      <c r="B326" s="19">
        <v>322</v>
      </c>
      <c r="C326" s="19" t="s">
        <v>124</v>
      </c>
      <c r="D326" s="19" t="s">
        <v>125</v>
      </c>
      <c r="E326" s="19" t="s">
        <v>77</v>
      </c>
      <c r="F326" s="20">
        <v>3</v>
      </c>
      <c r="G326" s="20">
        <v>3</v>
      </c>
      <c r="H326" s="20">
        <f t="shared" si="15"/>
        <v>0</v>
      </c>
      <c r="I326" s="20">
        <f t="shared" si="16"/>
        <v>0</v>
      </c>
      <c r="J326" s="21">
        <f t="shared" si="17"/>
        <v>0</v>
      </c>
      <c r="K326" s="22">
        <v>27.3</v>
      </c>
      <c r="L326" s="23">
        <v>0.34599999999999997</v>
      </c>
      <c r="M326" s="21">
        <v>0.97</v>
      </c>
      <c r="N326" s="19" t="str">
        <f>IF(G326&gt;='Resumen Ejecutivo'!$C$8, "CRÍTICA", IF(G326&gt;='Resumen Ejecutivo'!$C$7, "TEMPRANA", "NORMAL"))</f>
        <v>NORMAL</v>
      </c>
    </row>
    <row r="327" spans="2:14" x14ac:dyDescent="0.25">
      <c r="B327" s="14">
        <v>323</v>
      </c>
      <c r="C327" s="14" t="s">
        <v>124</v>
      </c>
      <c r="D327" s="14" t="s">
        <v>125</v>
      </c>
      <c r="E327" s="14" t="s">
        <v>78</v>
      </c>
      <c r="F327" s="15">
        <v>4</v>
      </c>
      <c r="G327" s="15">
        <v>4</v>
      </c>
      <c r="H327" s="15">
        <f t="shared" si="15"/>
        <v>0</v>
      </c>
      <c r="I327" s="15">
        <f t="shared" si="16"/>
        <v>0</v>
      </c>
      <c r="J327" s="16">
        <f t="shared" si="17"/>
        <v>0</v>
      </c>
      <c r="K327" s="17">
        <v>28.1</v>
      </c>
      <c r="L327" s="18">
        <v>0.35399999999999998</v>
      </c>
      <c r="M327" s="16">
        <v>0.95199999999999996</v>
      </c>
      <c r="N327" s="14" t="str">
        <f>IF(G327&gt;='Resumen Ejecutivo'!$C$8, "CRÍTICA", IF(G327&gt;='Resumen Ejecutivo'!$C$7, "TEMPRANA", "NORMAL"))</f>
        <v>NORMAL</v>
      </c>
    </row>
    <row r="328" spans="2:14" x14ac:dyDescent="0.25">
      <c r="B328" s="19">
        <v>324</v>
      </c>
      <c r="C328" s="19" t="s">
        <v>124</v>
      </c>
      <c r="D328" s="19" t="s">
        <v>125</v>
      </c>
      <c r="E328" s="19" t="s">
        <v>79</v>
      </c>
      <c r="F328" s="20">
        <v>2</v>
      </c>
      <c r="G328" s="20">
        <v>2</v>
      </c>
      <c r="H328" s="20">
        <f t="shared" si="15"/>
        <v>0</v>
      </c>
      <c r="I328" s="20">
        <f t="shared" si="16"/>
        <v>0</v>
      </c>
      <c r="J328" s="21">
        <f t="shared" si="17"/>
        <v>0</v>
      </c>
      <c r="K328" s="22">
        <v>27.8</v>
      </c>
      <c r="L328" s="23">
        <v>0.34399999999999997</v>
      </c>
      <c r="M328" s="21">
        <v>0.99299999999999999</v>
      </c>
      <c r="N328" s="19" t="str">
        <f>IF(G328&gt;='Resumen Ejecutivo'!$C$8, "CRÍTICA", IF(G328&gt;='Resumen Ejecutivo'!$C$7, "TEMPRANA", "NORMAL"))</f>
        <v>NORMAL</v>
      </c>
    </row>
    <row r="329" spans="2:14" x14ac:dyDescent="0.25">
      <c r="B329" s="14">
        <v>325</v>
      </c>
      <c r="C329" s="14" t="s">
        <v>124</v>
      </c>
      <c r="D329" s="14" t="s">
        <v>125</v>
      </c>
      <c r="E329" s="14" t="s">
        <v>80</v>
      </c>
      <c r="F329" s="15">
        <v>5</v>
      </c>
      <c r="G329" s="15">
        <v>5</v>
      </c>
      <c r="H329" s="15">
        <f t="shared" si="15"/>
        <v>0</v>
      </c>
      <c r="I329" s="15">
        <f t="shared" si="16"/>
        <v>0</v>
      </c>
      <c r="J329" s="16">
        <f t="shared" si="17"/>
        <v>0</v>
      </c>
      <c r="K329" s="17">
        <v>26.9</v>
      </c>
      <c r="L329" s="18">
        <v>0.36299999999999999</v>
      </c>
      <c r="M329" s="16">
        <v>0.96399999999999997</v>
      </c>
      <c r="N329" s="14" t="str">
        <f>IF(G329&gt;='Resumen Ejecutivo'!$C$8, "CRÍTICA", IF(G329&gt;='Resumen Ejecutivo'!$C$7, "TEMPRANA", "NORMAL"))</f>
        <v>NORMAL</v>
      </c>
    </row>
    <row r="330" spans="2:14" x14ac:dyDescent="0.25">
      <c r="B330" s="19">
        <v>326</v>
      </c>
      <c r="C330" s="19" t="s">
        <v>124</v>
      </c>
      <c r="D330" s="19" t="s">
        <v>125</v>
      </c>
      <c r="E330" s="19" t="s">
        <v>81</v>
      </c>
      <c r="F330" s="20">
        <v>3</v>
      </c>
      <c r="G330" s="20">
        <v>3</v>
      </c>
      <c r="H330" s="20">
        <f t="shared" si="15"/>
        <v>0</v>
      </c>
      <c r="I330" s="20">
        <f t="shared" si="16"/>
        <v>0</v>
      </c>
      <c r="J330" s="21">
        <f t="shared" si="17"/>
        <v>0</v>
      </c>
      <c r="K330" s="22">
        <v>28.1</v>
      </c>
      <c r="L330" s="23">
        <v>0.35199999999999998</v>
      </c>
      <c r="M330" s="21">
        <v>0.97</v>
      </c>
      <c r="N330" s="19" t="str">
        <f>IF(G330&gt;='Resumen Ejecutivo'!$C$8, "CRÍTICA", IF(G330&gt;='Resumen Ejecutivo'!$C$7, "TEMPRANA", "NORMAL"))</f>
        <v>NORMAL</v>
      </c>
    </row>
    <row r="331" spans="2:14" x14ac:dyDescent="0.25">
      <c r="B331" s="14">
        <v>327</v>
      </c>
      <c r="C331" s="14" t="s">
        <v>124</v>
      </c>
      <c r="D331" s="14" t="s">
        <v>125</v>
      </c>
      <c r="E331" s="14" t="s">
        <v>82</v>
      </c>
      <c r="F331" s="15">
        <v>5</v>
      </c>
      <c r="G331" s="15">
        <v>5</v>
      </c>
      <c r="H331" s="15">
        <f t="shared" si="15"/>
        <v>0</v>
      </c>
      <c r="I331" s="15">
        <f t="shared" si="16"/>
        <v>0</v>
      </c>
      <c r="J331" s="16">
        <f t="shared" si="17"/>
        <v>0</v>
      </c>
      <c r="K331" s="17">
        <v>27.5</v>
      </c>
      <c r="L331" s="18">
        <v>0.378</v>
      </c>
      <c r="M331" s="16">
        <v>0.96699999999999997</v>
      </c>
      <c r="N331" s="14" t="str">
        <f>IF(G331&gt;='Resumen Ejecutivo'!$C$8, "CRÍTICA", IF(G331&gt;='Resumen Ejecutivo'!$C$7, "TEMPRANA", "NORMAL"))</f>
        <v>NORMAL</v>
      </c>
    </row>
    <row r="332" spans="2:14" x14ac:dyDescent="0.25">
      <c r="B332" s="19">
        <v>328</v>
      </c>
      <c r="C332" s="19" t="s">
        <v>124</v>
      </c>
      <c r="D332" s="19" t="s">
        <v>125</v>
      </c>
      <c r="E332" s="19" t="s">
        <v>83</v>
      </c>
      <c r="F332" s="20">
        <v>6</v>
      </c>
      <c r="G332" s="20">
        <v>6</v>
      </c>
      <c r="H332" s="20">
        <f t="shared" si="15"/>
        <v>0</v>
      </c>
      <c r="I332" s="20">
        <f t="shared" si="16"/>
        <v>0</v>
      </c>
      <c r="J332" s="21">
        <f t="shared" si="17"/>
        <v>0</v>
      </c>
      <c r="K332" s="22">
        <v>27.1</v>
      </c>
      <c r="L332" s="23">
        <v>0.36499999999999999</v>
      </c>
      <c r="M332" s="21">
        <v>0.96799999999999997</v>
      </c>
      <c r="N332" s="19" t="str">
        <f>IF(G332&gt;='Resumen Ejecutivo'!$C$8, "CRÍTICA", IF(G332&gt;='Resumen Ejecutivo'!$C$7, "TEMPRANA", "NORMAL"))</f>
        <v>NORMAL</v>
      </c>
    </row>
    <row r="333" spans="2:14" x14ac:dyDescent="0.25">
      <c r="B333" s="14">
        <v>329</v>
      </c>
      <c r="C333" s="14" t="s">
        <v>124</v>
      </c>
      <c r="D333" s="14" t="s">
        <v>125</v>
      </c>
      <c r="E333" s="14" t="s">
        <v>84</v>
      </c>
      <c r="F333" s="15">
        <v>2</v>
      </c>
      <c r="G333" s="15">
        <v>2</v>
      </c>
      <c r="H333" s="15">
        <f t="shared" si="15"/>
        <v>0</v>
      </c>
      <c r="I333" s="15">
        <f t="shared" si="16"/>
        <v>0</v>
      </c>
      <c r="J333" s="16">
        <f t="shared" si="17"/>
        <v>0</v>
      </c>
      <c r="K333" s="17">
        <v>28.1</v>
      </c>
      <c r="L333" s="18">
        <v>0.34300000000000003</v>
      </c>
      <c r="M333" s="16">
        <v>0.95399999999999996</v>
      </c>
      <c r="N333" s="14" t="str">
        <f>IF(G333&gt;='Resumen Ejecutivo'!$C$8, "CRÍTICA", IF(G333&gt;='Resumen Ejecutivo'!$C$7, "TEMPRANA", "NORMAL"))</f>
        <v>NORMAL</v>
      </c>
    </row>
    <row r="334" spans="2:14" x14ac:dyDescent="0.25">
      <c r="B334" s="19">
        <v>330</v>
      </c>
      <c r="C334" s="19" t="s">
        <v>124</v>
      </c>
      <c r="D334" s="19" t="s">
        <v>125</v>
      </c>
      <c r="E334" s="19" t="s">
        <v>85</v>
      </c>
      <c r="F334" s="20">
        <v>3</v>
      </c>
      <c r="G334" s="20">
        <v>3</v>
      </c>
      <c r="H334" s="20">
        <f t="shared" si="15"/>
        <v>0</v>
      </c>
      <c r="I334" s="20">
        <f t="shared" si="16"/>
        <v>0</v>
      </c>
      <c r="J334" s="21">
        <f t="shared" si="17"/>
        <v>0</v>
      </c>
      <c r="K334" s="22">
        <v>27.5</v>
      </c>
      <c r="L334" s="23">
        <v>0.35199999999999998</v>
      </c>
      <c r="M334" s="21">
        <v>1</v>
      </c>
      <c r="N334" s="19" t="str">
        <f>IF(G334&gt;='Resumen Ejecutivo'!$C$8, "CRÍTICA", IF(G334&gt;='Resumen Ejecutivo'!$C$7, "TEMPRANA", "NORMAL"))</f>
        <v>NORMAL</v>
      </c>
    </row>
    <row r="335" spans="2:14" x14ac:dyDescent="0.25">
      <c r="B335" s="14">
        <v>331</v>
      </c>
      <c r="C335" s="14" t="s">
        <v>124</v>
      </c>
      <c r="D335" s="14" t="s">
        <v>125</v>
      </c>
      <c r="E335" s="14" t="s">
        <v>86</v>
      </c>
      <c r="F335" s="15">
        <v>4</v>
      </c>
      <c r="G335" s="15">
        <v>4</v>
      </c>
      <c r="H335" s="15">
        <f t="shared" si="15"/>
        <v>0</v>
      </c>
      <c r="I335" s="15">
        <f t="shared" si="16"/>
        <v>0</v>
      </c>
      <c r="J335" s="16">
        <f t="shared" si="17"/>
        <v>0</v>
      </c>
      <c r="K335" s="17">
        <v>27.1</v>
      </c>
      <c r="L335" s="18">
        <v>0.34499999999999997</v>
      </c>
      <c r="M335" s="16">
        <v>0.95499999999999996</v>
      </c>
      <c r="N335" s="14" t="str">
        <f>IF(G335&gt;='Resumen Ejecutivo'!$C$8, "CRÍTICA", IF(G335&gt;='Resumen Ejecutivo'!$C$7, "TEMPRANA", "NORMAL"))</f>
        <v>NORMAL</v>
      </c>
    </row>
    <row r="336" spans="2:14" x14ac:dyDescent="0.25">
      <c r="B336" s="19">
        <v>332</v>
      </c>
      <c r="C336" s="19" t="s">
        <v>124</v>
      </c>
      <c r="D336" s="19" t="s">
        <v>125</v>
      </c>
      <c r="E336" s="19" t="s">
        <v>87</v>
      </c>
      <c r="F336" s="20">
        <v>7</v>
      </c>
      <c r="G336" s="20">
        <v>7</v>
      </c>
      <c r="H336" s="20">
        <f t="shared" si="15"/>
        <v>0</v>
      </c>
      <c r="I336" s="20">
        <f t="shared" si="16"/>
        <v>0</v>
      </c>
      <c r="J336" s="21">
        <f t="shared" si="17"/>
        <v>0</v>
      </c>
      <c r="K336" s="22">
        <v>27.3</v>
      </c>
      <c r="L336" s="23">
        <v>0.34499999999999997</v>
      </c>
      <c r="M336" s="21">
        <v>0.97199999999999998</v>
      </c>
      <c r="N336" s="19" t="str">
        <f>IF(G336&gt;='Resumen Ejecutivo'!$C$8, "CRÍTICA", IF(G336&gt;='Resumen Ejecutivo'!$C$7, "TEMPRANA", "NORMAL"))</f>
        <v>NORMAL</v>
      </c>
    </row>
    <row r="337" spans="2:14" x14ac:dyDescent="0.25">
      <c r="B337" s="14">
        <v>333</v>
      </c>
      <c r="C337" s="14" t="s">
        <v>124</v>
      </c>
      <c r="D337" s="14" t="s">
        <v>125</v>
      </c>
      <c r="E337" s="14" t="s">
        <v>88</v>
      </c>
      <c r="F337" s="15">
        <v>7</v>
      </c>
      <c r="G337" s="15">
        <v>7</v>
      </c>
      <c r="H337" s="15">
        <f t="shared" si="15"/>
        <v>0</v>
      </c>
      <c r="I337" s="15">
        <f t="shared" si="16"/>
        <v>0</v>
      </c>
      <c r="J337" s="16">
        <f t="shared" si="17"/>
        <v>0</v>
      </c>
      <c r="K337" s="17">
        <v>27.9</v>
      </c>
      <c r="L337" s="18">
        <v>0.33800000000000002</v>
      </c>
      <c r="M337" s="16">
        <v>0.97199999999999998</v>
      </c>
      <c r="N337" s="14" t="str">
        <f>IF(G337&gt;='Resumen Ejecutivo'!$C$8, "CRÍTICA", IF(G337&gt;='Resumen Ejecutivo'!$C$7, "TEMPRANA", "NORMAL"))</f>
        <v>NORMAL</v>
      </c>
    </row>
    <row r="338" spans="2:14" x14ac:dyDescent="0.25">
      <c r="B338" s="19">
        <v>334</v>
      </c>
      <c r="C338" s="19" t="s">
        <v>124</v>
      </c>
      <c r="D338" s="19" t="s">
        <v>125</v>
      </c>
      <c r="E338" s="19" t="s">
        <v>89</v>
      </c>
      <c r="F338" s="20">
        <v>6</v>
      </c>
      <c r="G338" s="20">
        <v>6</v>
      </c>
      <c r="H338" s="20">
        <f t="shared" si="15"/>
        <v>0</v>
      </c>
      <c r="I338" s="20">
        <f t="shared" si="16"/>
        <v>0</v>
      </c>
      <c r="J338" s="21">
        <f t="shared" si="17"/>
        <v>0</v>
      </c>
      <c r="K338" s="22">
        <v>27.5</v>
      </c>
      <c r="L338" s="23">
        <v>0.36599999999999999</v>
      </c>
      <c r="M338" s="21">
        <v>0.996</v>
      </c>
      <c r="N338" s="19" t="str">
        <f>IF(G338&gt;='Resumen Ejecutivo'!$C$8, "CRÍTICA", IF(G338&gt;='Resumen Ejecutivo'!$C$7, "TEMPRANA", "NORMAL"))</f>
        <v>NORMAL</v>
      </c>
    </row>
    <row r="339" spans="2:14" x14ac:dyDescent="0.25">
      <c r="B339" s="14">
        <v>335</v>
      </c>
      <c r="C339" s="14" t="s">
        <v>124</v>
      </c>
      <c r="D339" s="14" t="s">
        <v>125</v>
      </c>
      <c r="E339" s="14" t="s">
        <v>90</v>
      </c>
      <c r="F339" s="15">
        <v>8</v>
      </c>
      <c r="G339" s="15">
        <v>8</v>
      </c>
      <c r="H339" s="15">
        <f t="shared" si="15"/>
        <v>0</v>
      </c>
      <c r="I339" s="15">
        <f t="shared" si="16"/>
        <v>0</v>
      </c>
      <c r="J339" s="16">
        <f t="shared" si="17"/>
        <v>0</v>
      </c>
      <c r="K339" s="17">
        <v>27.8</v>
      </c>
      <c r="L339" s="18">
        <v>0.35199999999999998</v>
      </c>
      <c r="M339" s="16">
        <v>0.98199999999999998</v>
      </c>
      <c r="N339" s="14" t="str">
        <f>IF(G339&gt;='Resumen Ejecutivo'!$C$8, "CRÍTICA", IF(G339&gt;='Resumen Ejecutivo'!$C$7, "TEMPRANA", "NORMAL"))</f>
        <v>NORMAL</v>
      </c>
    </row>
    <row r="340" spans="2:14" x14ac:dyDescent="0.25">
      <c r="B340" s="19">
        <v>336</v>
      </c>
      <c r="C340" s="19" t="s">
        <v>124</v>
      </c>
      <c r="D340" s="19" t="s">
        <v>125</v>
      </c>
      <c r="E340" s="19" t="s">
        <v>91</v>
      </c>
      <c r="F340" s="20">
        <v>5</v>
      </c>
      <c r="G340" s="20">
        <v>5</v>
      </c>
      <c r="H340" s="20">
        <f t="shared" si="15"/>
        <v>0</v>
      </c>
      <c r="I340" s="20">
        <f t="shared" si="16"/>
        <v>0</v>
      </c>
      <c r="J340" s="21">
        <f t="shared" si="17"/>
        <v>0</v>
      </c>
      <c r="K340" s="22">
        <v>28.1</v>
      </c>
      <c r="L340" s="23">
        <v>0.33300000000000002</v>
      </c>
      <c r="M340" s="21">
        <v>0.98399999999999999</v>
      </c>
      <c r="N340" s="19" t="str">
        <f>IF(G340&gt;='Resumen Ejecutivo'!$C$8, "CRÍTICA", IF(G340&gt;='Resumen Ejecutivo'!$C$7, "TEMPRANA", "NORMAL"))</f>
        <v>NORMAL</v>
      </c>
    </row>
    <row r="341" spans="2:14" x14ac:dyDescent="0.25">
      <c r="B341" s="14">
        <v>337</v>
      </c>
      <c r="C341" s="14" t="s">
        <v>124</v>
      </c>
      <c r="D341" s="14" t="s">
        <v>125</v>
      </c>
      <c r="E341" s="14" t="s">
        <v>92</v>
      </c>
      <c r="F341" s="15">
        <v>6</v>
      </c>
      <c r="G341" s="15">
        <v>6</v>
      </c>
      <c r="H341" s="15">
        <f t="shared" si="15"/>
        <v>0</v>
      </c>
      <c r="I341" s="15">
        <f t="shared" si="16"/>
        <v>0</v>
      </c>
      <c r="J341" s="16">
        <f t="shared" si="17"/>
        <v>0</v>
      </c>
      <c r="K341" s="17">
        <v>27.4</v>
      </c>
      <c r="L341" s="18">
        <v>0.35599999999999998</v>
      </c>
      <c r="M341" s="16">
        <v>0.98699999999999999</v>
      </c>
      <c r="N341" s="14" t="str">
        <f>IF(G341&gt;='Resumen Ejecutivo'!$C$8, "CRÍTICA", IF(G341&gt;='Resumen Ejecutivo'!$C$7, "TEMPRANA", "NORMAL"))</f>
        <v>NORMAL</v>
      </c>
    </row>
    <row r="342" spans="2:14" x14ac:dyDescent="0.25">
      <c r="B342" s="19">
        <v>338</v>
      </c>
      <c r="C342" s="19" t="s">
        <v>124</v>
      </c>
      <c r="D342" s="19" t="s">
        <v>125</v>
      </c>
      <c r="E342" s="19" t="s">
        <v>93</v>
      </c>
      <c r="F342" s="20">
        <v>8</v>
      </c>
      <c r="G342" s="20">
        <v>9</v>
      </c>
      <c r="H342" s="20">
        <f t="shared" si="15"/>
        <v>1</v>
      </c>
      <c r="I342" s="20">
        <f t="shared" si="16"/>
        <v>1</v>
      </c>
      <c r="J342" s="21">
        <f t="shared" si="17"/>
        <v>0.125</v>
      </c>
      <c r="K342" s="22">
        <v>27.1</v>
      </c>
      <c r="L342" s="23">
        <v>0.33200000000000002</v>
      </c>
      <c r="M342" s="21">
        <v>0.99199999999999999</v>
      </c>
      <c r="N342" s="19" t="str">
        <f>IF(G342&gt;='Resumen Ejecutivo'!$C$8, "CRÍTICA", IF(G342&gt;='Resumen Ejecutivo'!$C$7, "TEMPRANA", "NORMAL"))</f>
        <v>NORMAL</v>
      </c>
    </row>
    <row r="343" spans="2:14" x14ac:dyDescent="0.25">
      <c r="B343" s="14">
        <v>339</v>
      </c>
      <c r="C343" s="14" t="s">
        <v>124</v>
      </c>
      <c r="D343" s="14" t="s">
        <v>125</v>
      </c>
      <c r="E343" s="14" t="s">
        <v>94</v>
      </c>
      <c r="F343" s="15">
        <v>8</v>
      </c>
      <c r="G343" s="15">
        <v>8</v>
      </c>
      <c r="H343" s="15">
        <f t="shared" si="15"/>
        <v>0</v>
      </c>
      <c r="I343" s="15">
        <f t="shared" si="16"/>
        <v>0</v>
      </c>
      <c r="J343" s="16">
        <f t="shared" si="17"/>
        <v>0</v>
      </c>
      <c r="K343" s="17">
        <v>27.9</v>
      </c>
      <c r="L343" s="18">
        <v>0.35199999999999998</v>
      </c>
      <c r="M343" s="16">
        <v>0.95599999999999996</v>
      </c>
      <c r="N343" s="14" t="str">
        <f>IF(G343&gt;='Resumen Ejecutivo'!$C$8, "CRÍTICA", IF(G343&gt;='Resumen Ejecutivo'!$C$7, "TEMPRANA", "NORMAL"))</f>
        <v>NORMAL</v>
      </c>
    </row>
    <row r="344" spans="2:14" x14ac:dyDescent="0.25">
      <c r="B344" s="19">
        <v>340</v>
      </c>
      <c r="C344" s="19" t="s">
        <v>124</v>
      </c>
      <c r="D344" s="19" t="s">
        <v>125</v>
      </c>
      <c r="E344" s="19" t="s">
        <v>95</v>
      </c>
      <c r="F344" s="20">
        <v>5</v>
      </c>
      <c r="G344" s="20">
        <v>5</v>
      </c>
      <c r="H344" s="20">
        <f t="shared" si="15"/>
        <v>0</v>
      </c>
      <c r="I344" s="20">
        <f t="shared" si="16"/>
        <v>0</v>
      </c>
      <c r="J344" s="21">
        <f t="shared" si="17"/>
        <v>0</v>
      </c>
      <c r="K344" s="22">
        <v>27.2</v>
      </c>
      <c r="L344" s="23">
        <v>0.36199999999999999</v>
      </c>
      <c r="M344" s="21">
        <v>0.96799999999999997</v>
      </c>
      <c r="N344" s="19" t="str">
        <f>IF(G344&gt;='Resumen Ejecutivo'!$C$8, "CRÍTICA", IF(G344&gt;='Resumen Ejecutivo'!$C$7, "TEMPRANA", "NORMAL"))</f>
        <v>NORMAL</v>
      </c>
    </row>
    <row r="345" spans="2:14" x14ac:dyDescent="0.25">
      <c r="B345" s="14">
        <v>341</v>
      </c>
      <c r="C345" s="14" t="s">
        <v>124</v>
      </c>
      <c r="D345" s="14" t="s">
        <v>125</v>
      </c>
      <c r="E345" s="14" t="s">
        <v>96</v>
      </c>
      <c r="F345" s="15">
        <v>5</v>
      </c>
      <c r="G345" s="15">
        <v>5</v>
      </c>
      <c r="H345" s="15">
        <f t="shared" si="15"/>
        <v>0</v>
      </c>
      <c r="I345" s="15">
        <f t="shared" si="16"/>
        <v>0</v>
      </c>
      <c r="J345" s="16">
        <f t="shared" si="17"/>
        <v>0</v>
      </c>
      <c r="K345" s="17">
        <v>28.3</v>
      </c>
      <c r="L345" s="18">
        <v>0.33200000000000002</v>
      </c>
      <c r="M345" s="16">
        <v>0.95799999999999996</v>
      </c>
      <c r="N345" s="14" t="str">
        <f>IF(G345&gt;='Resumen Ejecutivo'!$C$8, "CRÍTICA", IF(G345&gt;='Resumen Ejecutivo'!$C$7, "TEMPRANA", "NORMAL"))</f>
        <v>NORMAL</v>
      </c>
    </row>
    <row r="346" spans="2:14" x14ac:dyDescent="0.25">
      <c r="B346" s="19">
        <v>342</v>
      </c>
      <c r="C346" s="19" t="s">
        <v>124</v>
      </c>
      <c r="D346" s="19" t="s">
        <v>125</v>
      </c>
      <c r="E346" s="19" t="s">
        <v>97</v>
      </c>
      <c r="F346" s="20">
        <v>4</v>
      </c>
      <c r="G346" s="20">
        <v>4</v>
      </c>
      <c r="H346" s="20">
        <f t="shared" si="15"/>
        <v>0</v>
      </c>
      <c r="I346" s="20">
        <f t="shared" si="16"/>
        <v>0</v>
      </c>
      <c r="J346" s="21">
        <f t="shared" si="17"/>
        <v>0</v>
      </c>
      <c r="K346" s="22">
        <v>27.5</v>
      </c>
      <c r="L346" s="23">
        <v>0.34899999999999998</v>
      </c>
      <c r="M346" s="21">
        <v>0.97199999999999998</v>
      </c>
      <c r="N346" s="19" t="str">
        <f>IF(G346&gt;='Resumen Ejecutivo'!$C$8, "CRÍTICA", IF(G346&gt;='Resumen Ejecutivo'!$C$7, "TEMPRANA", "NORMAL"))</f>
        <v>NORMAL</v>
      </c>
    </row>
    <row r="347" spans="2:14" x14ac:dyDescent="0.25">
      <c r="B347" s="14">
        <v>343</v>
      </c>
      <c r="C347" s="14" t="s">
        <v>124</v>
      </c>
      <c r="D347" s="14" t="s">
        <v>125</v>
      </c>
      <c r="E347" s="14" t="s">
        <v>98</v>
      </c>
      <c r="F347" s="15">
        <v>9</v>
      </c>
      <c r="G347" s="15">
        <v>9</v>
      </c>
      <c r="H347" s="15">
        <f t="shared" si="15"/>
        <v>0</v>
      </c>
      <c r="I347" s="15">
        <f t="shared" si="16"/>
        <v>0</v>
      </c>
      <c r="J347" s="16">
        <f t="shared" si="17"/>
        <v>0</v>
      </c>
      <c r="K347" s="17">
        <v>26.9</v>
      </c>
      <c r="L347" s="18">
        <v>0.33700000000000002</v>
      </c>
      <c r="M347" s="16">
        <v>0.96799999999999997</v>
      </c>
      <c r="N347" s="14" t="str">
        <f>IF(G347&gt;='Resumen Ejecutivo'!$C$8, "CRÍTICA", IF(G347&gt;='Resumen Ejecutivo'!$C$7, "TEMPRANA", "NORMAL"))</f>
        <v>NORMAL</v>
      </c>
    </row>
    <row r="348" spans="2:14" x14ac:dyDescent="0.25">
      <c r="B348" s="19">
        <v>344</v>
      </c>
      <c r="C348" s="19" t="s">
        <v>124</v>
      </c>
      <c r="D348" s="19" t="s">
        <v>125</v>
      </c>
      <c r="E348" s="19" t="s">
        <v>99</v>
      </c>
      <c r="F348" s="20">
        <v>11</v>
      </c>
      <c r="G348" s="20">
        <v>11</v>
      </c>
      <c r="H348" s="20">
        <f t="shared" si="15"/>
        <v>0</v>
      </c>
      <c r="I348" s="20">
        <f t="shared" si="16"/>
        <v>0</v>
      </c>
      <c r="J348" s="21">
        <f t="shared" si="17"/>
        <v>0</v>
      </c>
      <c r="K348" s="22">
        <v>27.3</v>
      </c>
      <c r="L348" s="23">
        <v>0.34399999999999997</v>
      </c>
      <c r="M348" s="21">
        <v>0.998</v>
      </c>
      <c r="N348" s="19" t="str">
        <f>IF(G348&gt;='Resumen Ejecutivo'!$C$8, "CRÍTICA", IF(G348&gt;='Resumen Ejecutivo'!$C$7, "TEMPRANA", "NORMAL"))</f>
        <v>NORMAL</v>
      </c>
    </row>
    <row r="349" spans="2:14" x14ac:dyDescent="0.25">
      <c r="B349" s="14">
        <v>345</v>
      </c>
      <c r="C349" s="14" t="s">
        <v>124</v>
      </c>
      <c r="D349" s="14" t="s">
        <v>125</v>
      </c>
      <c r="E349" s="14" t="s">
        <v>100</v>
      </c>
      <c r="F349" s="15">
        <v>7</v>
      </c>
      <c r="G349" s="15">
        <v>8</v>
      </c>
      <c r="H349" s="15">
        <f t="shared" si="15"/>
        <v>1</v>
      </c>
      <c r="I349" s="15">
        <f t="shared" si="16"/>
        <v>1</v>
      </c>
      <c r="J349" s="16">
        <f t="shared" si="17"/>
        <v>0.14285714285714285</v>
      </c>
      <c r="K349" s="17">
        <v>26.8</v>
      </c>
      <c r="L349" s="18">
        <v>0.33900000000000002</v>
      </c>
      <c r="M349" s="16">
        <v>0.97599999999999998</v>
      </c>
      <c r="N349" s="14" t="str">
        <f>IF(G349&gt;='Resumen Ejecutivo'!$C$8, "CRÍTICA", IF(G349&gt;='Resumen Ejecutivo'!$C$7, "TEMPRANA", "NORMAL"))</f>
        <v>NORMAL</v>
      </c>
    </row>
    <row r="350" spans="2:14" x14ac:dyDescent="0.25">
      <c r="B350" s="19">
        <v>346</v>
      </c>
      <c r="C350" s="19" t="s">
        <v>124</v>
      </c>
      <c r="D350" s="19" t="s">
        <v>125</v>
      </c>
      <c r="E350" s="19" t="s">
        <v>101</v>
      </c>
      <c r="F350" s="20">
        <v>4</v>
      </c>
      <c r="G350" s="20">
        <v>4</v>
      </c>
      <c r="H350" s="20">
        <f t="shared" si="15"/>
        <v>0</v>
      </c>
      <c r="I350" s="20">
        <f t="shared" si="16"/>
        <v>0</v>
      </c>
      <c r="J350" s="21">
        <f t="shared" si="17"/>
        <v>0</v>
      </c>
      <c r="K350" s="22">
        <v>28.3</v>
      </c>
      <c r="L350" s="23">
        <v>0.33600000000000002</v>
      </c>
      <c r="M350" s="21">
        <v>0.98899999999999999</v>
      </c>
      <c r="N350" s="19" t="str">
        <f>IF(G350&gt;='Resumen Ejecutivo'!$C$8, "CRÍTICA", IF(G350&gt;='Resumen Ejecutivo'!$C$7, "TEMPRANA", "NORMAL"))</f>
        <v>NORMAL</v>
      </c>
    </row>
    <row r="351" spans="2:14" x14ac:dyDescent="0.25">
      <c r="B351" s="14">
        <v>347</v>
      </c>
      <c r="C351" s="14" t="s">
        <v>124</v>
      </c>
      <c r="D351" s="14" t="s">
        <v>125</v>
      </c>
      <c r="E351" s="14" t="s">
        <v>102</v>
      </c>
      <c r="F351" s="15">
        <v>2</v>
      </c>
      <c r="G351" s="15">
        <v>2</v>
      </c>
      <c r="H351" s="15">
        <f t="shared" si="15"/>
        <v>0</v>
      </c>
      <c r="I351" s="15">
        <f t="shared" si="16"/>
        <v>0</v>
      </c>
      <c r="J351" s="16">
        <f t="shared" si="17"/>
        <v>0</v>
      </c>
      <c r="K351" s="17">
        <v>27.9</v>
      </c>
      <c r="L351" s="18">
        <v>0.34100000000000003</v>
      </c>
      <c r="M351" s="16">
        <v>0.98099999999999998</v>
      </c>
      <c r="N351" s="14" t="str">
        <f>IF(G351&gt;='Resumen Ejecutivo'!$C$8, "CRÍTICA", IF(G351&gt;='Resumen Ejecutivo'!$C$7, "TEMPRANA", "NORMAL"))</f>
        <v>NORMAL</v>
      </c>
    </row>
    <row r="352" spans="2:14" x14ac:dyDescent="0.25">
      <c r="B352" s="19">
        <v>348</v>
      </c>
      <c r="C352" s="19" t="s">
        <v>124</v>
      </c>
      <c r="D352" s="19" t="s">
        <v>125</v>
      </c>
      <c r="E352" s="19" t="s">
        <v>103</v>
      </c>
      <c r="F352" s="20">
        <v>3</v>
      </c>
      <c r="G352" s="20">
        <v>3</v>
      </c>
      <c r="H352" s="20">
        <f t="shared" si="15"/>
        <v>0</v>
      </c>
      <c r="I352" s="20">
        <f t="shared" si="16"/>
        <v>0</v>
      </c>
      <c r="J352" s="21">
        <f t="shared" si="17"/>
        <v>0</v>
      </c>
      <c r="K352" s="22">
        <v>27.9</v>
      </c>
      <c r="L352" s="23">
        <v>0.38</v>
      </c>
      <c r="M352" s="21">
        <v>0.96</v>
      </c>
      <c r="N352" s="19" t="str">
        <f>IF(G352&gt;='Resumen Ejecutivo'!$C$8, "CRÍTICA", IF(G352&gt;='Resumen Ejecutivo'!$C$7, "TEMPRANA", "NORMAL"))</f>
        <v>NORMAL</v>
      </c>
    </row>
    <row r="353" spans="2:14" x14ac:dyDescent="0.25">
      <c r="B353" s="14">
        <v>349</v>
      </c>
      <c r="C353" s="14" t="s">
        <v>124</v>
      </c>
      <c r="D353" s="14" t="s">
        <v>125</v>
      </c>
      <c r="E353" s="14" t="s">
        <v>104</v>
      </c>
      <c r="F353" s="15">
        <v>2</v>
      </c>
      <c r="G353" s="15">
        <v>2</v>
      </c>
      <c r="H353" s="15">
        <f t="shared" si="15"/>
        <v>0</v>
      </c>
      <c r="I353" s="15">
        <f t="shared" si="16"/>
        <v>0</v>
      </c>
      <c r="J353" s="16">
        <f t="shared" si="17"/>
        <v>0</v>
      </c>
      <c r="K353" s="17">
        <v>27</v>
      </c>
      <c r="L353" s="18">
        <v>0.33400000000000002</v>
      </c>
      <c r="M353" s="16">
        <v>0.95899999999999996</v>
      </c>
      <c r="N353" s="14" t="str">
        <f>IF(G353&gt;='Resumen Ejecutivo'!$C$8, "CRÍTICA", IF(G353&gt;='Resumen Ejecutivo'!$C$7, "TEMPRANA", "NORMAL"))</f>
        <v>NORMAL</v>
      </c>
    </row>
    <row r="354" spans="2:14" x14ac:dyDescent="0.25">
      <c r="B354" s="19">
        <v>350</v>
      </c>
      <c r="C354" s="19" t="s">
        <v>124</v>
      </c>
      <c r="D354" s="19" t="s">
        <v>125</v>
      </c>
      <c r="E354" s="19" t="s">
        <v>105</v>
      </c>
      <c r="F354" s="20">
        <v>1</v>
      </c>
      <c r="G354" s="20">
        <v>1</v>
      </c>
      <c r="H354" s="20">
        <f t="shared" si="15"/>
        <v>0</v>
      </c>
      <c r="I354" s="20">
        <f t="shared" si="16"/>
        <v>0</v>
      </c>
      <c r="J354" s="21">
        <f t="shared" si="17"/>
        <v>0</v>
      </c>
      <c r="K354" s="22">
        <v>27.9</v>
      </c>
      <c r="L354" s="23">
        <v>0.38</v>
      </c>
      <c r="M354" s="21">
        <v>0.99099999999999999</v>
      </c>
      <c r="N354" s="19" t="str">
        <f>IF(G354&gt;='Resumen Ejecutivo'!$C$8, "CRÍTICA", IF(G354&gt;='Resumen Ejecutivo'!$C$7, "TEMPRANA", "NORMAL"))</f>
        <v>NORMAL</v>
      </c>
    </row>
    <row r="355" spans="2:14" x14ac:dyDescent="0.25">
      <c r="B355" s="14">
        <v>351</v>
      </c>
      <c r="C355" s="14" t="s">
        <v>124</v>
      </c>
      <c r="D355" s="14" t="s">
        <v>125</v>
      </c>
      <c r="E355" s="14" t="s">
        <v>106</v>
      </c>
      <c r="F355" s="15">
        <v>5</v>
      </c>
      <c r="G355" s="15">
        <v>5</v>
      </c>
      <c r="H355" s="15">
        <f t="shared" si="15"/>
        <v>0</v>
      </c>
      <c r="I355" s="15">
        <f t="shared" si="16"/>
        <v>0</v>
      </c>
      <c r="J355" s="16">
        <f t="shared" si="17"/>
        <v>0</v>
      </c>
      <c r="K355" s="17">
        <v>28.3</v>
      </c>
      <c r="L355" s="18">
        <v>0.379</v>
      </c>
      <c r="M355" s="16">
        <v>0.98299999999999998</v>
      </c>
      <c r="N355" s="14" t="str">
        <f>IF(G355&gt;='Resumen Ejecutivo'!$C$8, "CRÍTICA", IF(G355&gt;='Resumen Ejecutivo'!$C$7, "TEMPRANA", "NORMAL"))</f>
        <v>NORMAL</v>
      </c>
    </row>
    <row r="356" spans="2:14" x14ac:dyDescent="0.25">
      <c r="B356" s="19">
        <v>352</v>
      </c>
      <c r="C356" s="19" t="s">
        <v>124</v>
      </c>
      <c r="D356" s="19" t="s">
        <v>125</v>
      </c>
      <c r="E356" s="19" t="s">
        <v>107</v>
      </c>
      <c r="F356" s="20">
        <v>3</v>
      </c>
      <c r="G356" s="20">
        <v>3</v>
      </c>
      <c r="H356" s="20">
        <f t="shared" si="15"/>
        <v>0</v>
      </c>
      <c r="I356" s="20">
        <f t="shared" si="16"/>
        <v>0</v>
      </c>
      <c r="J356" s="21">
        <f t="shared" si="17"/>
        <v>0</v>
      </c>
      <c r="K356" s="22">
        <v>27.9</v>
      </c>
      <c r="L356" s="23">
        <v>0.35699999999999998</v>
      </c>
      <c r="M356" s="21">
        <v>0.96499999999999997</v>
      </c>
      <c r="N356" s="19" t="str">
        <f>IF(G356&gt;='Resumen Ejecutivo'!$C$8, "CRÍTICA", IF(G356&gt;='Resumen Ejecutivo'!$C$7, "TEMPRANA", "NORMAL"))</f>
        <v>NORMAL</v>
      </c>
    </row>
    <row r="357" spans="2:14" x14ac:dyDescent="0.25">
      <c r="B357" s="14">
        <v>353</v>
      </c>
      <c r="C357" s="14" t="s">
        <v>124</v>
      </c>
      <c r="D357" s="14" t="s">
        <v>125</v>
      </c>
      <c r="E357" s="14" t="s">
        <v>108</v>
      </c>
      <c r="F357" s="15">
        <v>1</v>
      </c>
      <c r="G357" s="15">
        <v>1</v>
      </c>
      <c r="H357" s="15">
        <f t="shared" si="15"/>
        <v>0</v>
      </c>
      <c r="I357" s="15">
        <f t="shared" si="16"/>
        <v>0</v>
      </c>
      <c r="J357" s="16">
        <f t="shared" si="17"/>
        <v>0</v>
      </c>
      <c r="K357" s="17">
        <v>27.3</v>
      </c>
      <c r="L357" s="18">
        <v>0.33800000000000002</v>
      </c>
      <c r="M357" s="16">
        <v>0.98499999999999999</v>
      </c>
      <c r="N357" s="14" t="str">
        <f>IF(G357&gt;='Resumen Ejecutivo'!$C$8, "CRÍTICA", IF(G357&gt;='Resumen Ejecutivo'!$C$7, "TEMPRANA", "NORMAL"))</f>
        <v>NORMAL</v>
      </c>
    </row>
    <row r="358" spans="2:14" x14ac:dyDescent="0.25">
      <c r="B358" s="19">
        <v>354</v>
      </c>
      <c r="C358" s="19" t="s">
        <v>124</v>
      </c>
      <c r="D358" s="19" t="s">
        <v>125</v>
      </c>
      <c r="E358" s="19" t="s">
        <v>109</v>
      </c>
      <c r="F358" s="20">
        <v>1</v>
      </c>
      <c r="G358" s="20">
        <v>1</v>
      </c>
      <c r="H358" s="20">
        <f t="shared" si="15"/>
        <v>0</v>
      </c>
      <c r="I358" s="20">
        <f t="shared" si="16"/>
        <v>0</v>
      </c>
      <c r="J358" s="21">
        <f t="shared" si="17"/>
        <v>0</v>
      </c>
      <c r="K358" s="22">
        <v>27.9</v>
      </c>
      <c r="L358" s="23">
        <v>0.33900000000000002</v>
      </c>
      <c r="M358" s="21">
        <v>0.96799999999999997</v>
      </c>
      <c r="N358" s="19" t="str">
        <f>IF(G358&gt;='Resumen Ejecutivo'!$C$8, "CRÍTICA", IF(G358&gt;='Resumen Ejecutivo'!$C$7, "TEMPRANA", "NORMAL"))</f>
        <v>NORMAL</v>
      </c>
    </row>
    <row r="359" spans="2:14" x14ac:dyDescent="0.25">
      <c r="B359" s="14">
        <v>355</v>
      </c>
      <c r="C359" s="14" t="s">
        <v>124</v>
      </c>
      <c r="D359" s="14" t="s">
        <v>125</v>
      </c>
      <c r="E359" s="14" t="s">
        <v>110</v>
      </c>
      <c r="F359" s="15">
        <v>0</v>
      </c>
      <c r="G359" s="15">
        <v>0</v>
      </c>
      <c r="H359" s="15">
        <f t="shared" si="15"/>
        <v>0</v>
      </c>
      <c r="I359" s="15">
        <f t="shared" si="16"/>
        <v>0</v>
      </c>
      <c r="J359" s="16">
        <f t="shared" si="17"/>
        <v>0</v>
      </c>
      <c r="K359" s="17">
        <v>27.2</v>
      </c>
      <c r="L359" s="18">
        <v>0.379</v>
      </c>
      <c r="M359" s="16">
        <v>0.99</v>
      </c>
      <c r="N359" s="14" t="str">
        <f>IF(G359&gt;='Resumen Ejecutivo'!$C$8, "CRÍTICA", IF(G359&gt;='Resumen Ejecutivo'!$C$7, "TEMPRANA", "NORMAL"))</f>
        <v>NORMAL</v>
      </c>
    </row>
    <row r="360" spans="2:14" x14ac:dyDescent="0.25">
      <c r="B360" s="19">
        <v>356</v>
      </c>
      <c r="C360" s="19" t="s">
        <v>124</v>
      </c>
      <c r="D360" s="19" t="s">
        <v>125</v>
      </c>
      <c r="E360" s="19" t="s">
        <v>111</v>
      </c>
      <c r="F360" s="20">
        <v>1</v>
      </c>
      <c r="G360" s="20">
        <v>1</v>
      </c>
      <c r="H360" s="20">
        <f t="shared" si="15"/>
        <v>0</v>
      </c>
      <c r="I360" s="20">
        <f t="shared" si="16"/>
        <v>0</v>
      </c>
      <c r="J360" s="21">
        <f t="shared" si="17"/>
        <v>0</v>
      </c>
      <c r="K360" s="22">
        <v>27.2</v>
      </c>
      <c r="L360" s="23">
        <v>0.35499999999999998</v>
      </c>
      <c r="M360" s="21">
        <v>0.96799999999999997</v>
      </c>
      <c r="N360" s="19" t="str">
        <f>IF(G360&gt;='Resumen Ejecutivo'!$C$8, "CRÍTICA", IF(G360&gt;='Resumen Ejecutivo'!$C$7, "TEMPRANA", "NORMAL"))</f>
        <v>NORMAL</v>
      </c>
    </row>
    <row r="361" spans="2:14" x14ac:dyDescent="0.25">
      <c r="B361" s="14">
        <v>357</v>
      </c>
      <c r="C361" s="14" t="s">
        <v>124</v>
      </c>
      <c r="D361" s="14" t="s">
        <v>125</v>
      </c>
      <c r="E361" s="14" t="s">
        <v>112</v>
      </c>
      <c r="F361" s="15">
        <v>2</v>
      </c>
      <c r="G361" s="15">
        <v>1</v>
      </c>
      <c r="H361" s="15">
        <f t="shared" si="15"/>
        <v>1</v>
      </c>
      <c r="I361" s="15">
        <f t="shared" si="16"/>
        <v>1</v>
      </c>
      <c r="J361" s="16">
        <f t="shared" si="17"/>
        <v>0.5</v>
      </c>
      <c r="K361" s="17">
        <v>27.7</v>
      </c>
      <c r="L361" s="18">
        <v>0.35299999999999998</v>
      </c>
      <c r="M361" s="16">
        <v>0.999</v>
      </c>
      <c r="N361" s="14" t="str">
        <f>IF(G361&gt;='Resumen Ejecutivo'!$C$8, "CRÍTICA", IF(G361&gt;='Resumen Ejecutivo'!$C$7, "TEMPRANA", "NORMAL"))</f>
        <v>NORMAL</v>
      </c>
    </row>
    <row r="362" spans="2:14" x14ac:dyDescent="0.25">
      <c r="B362" s="19">
        <v>358</v>
      </c>
      <c r="C362" s="19" t="s">
        <v>124</v>
      </c>
      <c r="D362" s="19" t="s">
        <v>125</v>
      </c>
      <c r="E362" s="19" t="s">
        <v>113</v>
      </c>
      <c r="F362" s="20">
        <v>1</v>
      </c>
      <c r="G362" s="20">
        <v>0</v>
      </c>
      <c r="H362" s="20">
        <f t="shared" si="15"/>
        <v>1</v>
      </c>
      <c r="I362" s="20">
        <f t="shared" si="16"/>
        <v>1</v>
      </c>
      <c r="J362" s="21">
        <f t="shared" si="17"/>
        <v>1</v>
      </c>
      <c r="K362" s="22">
        <v>27</v>
      </c>
      <c r="L362" s="23">
        <v>0.374</v>
      </c>
      <c r="M362" s="21">
        <v>0.95299999999999996</v>
      </c>
      <c r="N362" s="19" t="str">
        <f>IF(G362&gt;='Resumen Ejecutivo'!$C$8, "CRÍTICA", IF(G362&gt;='Resumen Ejecutivo'!$C$7, "TEMPRANA", "NORMAL"))</f>
        <v>NORMAL</v>
      </c>
    </row>
    <row r="363" spans="2:14" x14ac:dyDescent="0.25">
      <c r="B363" s="14">
        <v>359</v>
      </c>
      <c r="C363" s="14" t="s">
        <v>124</v>
      </c>
      <c r="D363" s="14" t="s">
        <v>125</v>
      </c>
      <c r="E363" s="14" t="s">
        <v>114</v>
      </c>
      <c r="F363" s="15">
        <v>3</v>
      </c>
      <c r="G363" s="15">
        <v>3</v>
      </c>
      <c r="H363" s="15">
        <f t="shared" si="15"/>
        <v>0</v>
      </c>
      <c r="I363" s="15">
        <f t="shared" si="16"/>
        <v>0</v>
      </c>
      <c r="J363" s="16">
        <f t="shared" si="17"/>
        <v>0</v>
      </c>
      <c r="K363" s="17">
        <v>27.4</v>
      </c>
      <c r="L363" s="18">
        <v>0.36599999999999999</v>
      </c>
      <c r="M363" s="16">
        <v>0.97399999999999998</v>
      </c>
      <c r="N363" s="14" t="str">
        <f>IF(G363&gt;='Resumen Ejecutivo'!$C$8, "CRÍTICA", IF(G363&gt;='Resumen Ejecutivo'!$C$7, "TEMPRANA", "NORMAL"))</f>
        <v>NORMAL</v>
      </c>
    </row>
    <row r="364" spans="2:14" x14ac:dyDescent="0.25">
      <c r="B364" s="19">
        <v>360</v>
      </c>
      <c r="C364" s="19" t="s">
        <v>124</v>
      </c>
      <c r="D364" s="19" t="s">
        <v>125</v>
      </c>
      <c r="E364" s="19" t="s">
        <v>115</v>
      </c>
      <c r="F364" s="20">
        <v>3</v>
      </c>
      <c r="G364" s="20">
        <v>3</v>
      </c>
      <c r="H364" s="20">
        <f t="shared" si="15"/>
        <v>0</v>
      </c>
      <c r="I364" s="20">
        <f t="shared" si="16"/>
        <v>0</v>
      </c>
      <c r="J364" s="21">
        <f t="shared" si="17"/>
        <v>0</v>
      </c>
      <c r="K364" s="22">
        <v>27.5</v>
      </c>
      <c r="L364" s="23">
        <v>0.35</v>
      </c>
      <c r="M364" s="21">
        <v>0.97899999999999998</v>
      </c>
      <c r="N364" s="19" t="str">
        <f>IF(G364&gt;='Resumen Ejecutivo'!$C$8, "CRÍTICA", IF(G364&gt;='Resumen Ejecutivo'!$C$7, "TEMPRANA", "NORMAL"))</f>
        <v>NORMAL</v>
      </c>
    </row>
    <row r="365" spans="2:14" x14ac:dyDescent="0.25">
      <c r="B365" s="14">
        <v>361</v>
      </c>
      <c r="C365" s="14" t="s">
        <v>126</v>
      </c>
      <c r="D365" s="14" t="s">
        <v>127</v>
      </c>
      <c r="E365" s="14" t="s">
        <v>56</v>
      </c>
      <c r="F365" s="15">
        <v>0</v>
      </c>
      <c r="G365" s="15">
        <v>1</v>
      </c>
      <c r="H365" s="15">
        <f t="shared" si="15"/>
        <v>1</v>
      </c>
      <c r="I365" s="15">
        <f t="shared" si="16"/>
        <v>1</v>
      </c>
      <c r="J365" s="16">
        <f t="shared" si="17"/>
        <v>0</v>
      </c>
      <c r="K365" s="17">
        <v>27.3</v>
      </c>
      <c r="L365" s="18">
        <v>0.33100000000000002</v>
      </c>
      <c r="M365" s="16">
        <v>0.997</v>
      </c>
      <c r="N365" s="14" t="str">
        <f>IF(G365&gt;='Resumen Ejecutivo'!$C$8, "CRÍTICA", IF(G365&gt;='Resumen Ejecutivo'!$C$7, "TEMPRANA", "NORMAL"))</f>
        <v>NORMAL</v>
      </c>
    </row>
    <row r="366" spans="2:14" x14ac:dyDescent="0.25">
      <c r="B366" s="19">
        <v>362</v>
      </c>
      <c r="C366" s="19" t="s">
        <v>126</v>
      </c>
      <c r="D366" s="19" t="s">
        <v>127</v>
      </c>
      <c r="E366" s="19" t="s">
        <v>57</v>
      </c>
      <c r="F366" s="20">
        <v>1</v>
      </c>
      <c r="G366" s="20">
        <v>1</v>
      </c>
      <c r="H366" s="20">
        <f t="shared" si="15"/>
        <v>0</v>
      </c>
      <c r="I366" s="20">
        <f t="shared" si="16"/>
        <v>0</v>
      </c>
      <c r="J366" s="21">
        <f t="shared" si="17"/>
        <v>0</v>
      </c>
      <c r="K366" s="22">
        <v>27.6</v>
      </c>
      <c r="L366" s="23">
        <v>0.378</v>
      </c>
      <c r="M366" s="21">
        <v>0.96099999999999997</v>
      </c>
      <c r="N366" s="19" t="str">
        <f>IF(G366&gt;='Resumen Ejecutivo'!$C$8, "CRÍTICA", IF(G366&gt;='Resumen Ejecutivo'!$C$7, "TEMPRANA", "NORMAL"))</f>
        <v>NORMAL</v>
      </c>
    </row>
    <row r="367" spans="2:14" x14ac:dyDescent="0.25">
      <c r="B367" s="14">
        <v>363</v>
      </c>
      <c r="C367" s="14" t="s">
        <v>126</v>
      </c>
      <c r="D367" s="14" t="s">
        <v>127</v>
      </c>
      <c r="E367" s="14" t="s">
        <v>58</v>
      </c>
      <c r="F367" s="15">
        <v>4</v>
      </c>
      <c r="G367" s="15">
        <v>4</v>
      </c>
      <c r="H367" s="15">
        <f t="shared" si="15"/>
        <v>0</v>
      </c>
      <c r="I367" s="15">
        <f t="shared" si="16"/>
        <v>0</v>
      </c>
      <c r="J367" s="16">
        <f t="shared" si="17"/>
        <v>0</v>
      </c>
      <c r="K367" s="17">
        <v>27.4</v>
      </c>
      <c r="L367" s="18">
        <v>0.33300000000000002</v>
      </c>
      <c r="M367" s="16">
        <v>0.97499999999999998</v>
      </c>
      <c r="N367" s="14" t="str">
        <f>IF(G367&gt;='Resumen Ejecutivo'!$C$8, "CRÍTICA", IF(G367&gt;='Resumen Ejecutivo'!$C$7, "TEMPRANA", "NORMAL"))</f>
        <v>NORMAL</v>
      </c>
    </row>
    <row r="368" spans="2:14" x14ac:dyDescent="0.25">
      <c r="B368" s="19">
        <v>364</v>
      </c>
      <c r="C368" s="19" t="s">
        <v>126</v>
      </c>
      <c r="D368" s="19" t="s">
        <v>127</v>
      </c>
      <c r="E368" s="19" t="s">
        <v>59</v>
      </c>
      <c r="F368" s="20">
        <v>0</v>
      </c>
      <c r="G368" s="20">
        <v>0</v>
      </c>
      <c r="H368" s="20">
        <f t="shared" si="15"/>
        <v>0</v>
      </c>
      <c r="I368" s="20">
        <f t="shared" si="16"/>
        <v>0</v>
      </c>
      <c r="J368" s="21">
        <f t="shared" si="17"/>
        <v>0</v>
      </c>
      <c r="K368" s="22">
        <v>28.2</v>
      </c>
      <c r="L368" s="23">
        <v>0.36299999999999999</v>
      </c>
      <c r="M368" s="21">
        <v>0.97399999999999998</v>
      </c>
      <c r="N368" s="19" t="str">
        <f>IF(G368&gt;='Resumen Ejecutivo'!$C$8, "CRÍTICA", IF(G368&gt;='Resumen Ejecutivo'!$C$7, "TEMPRANA", "NORMAL"))</f>
        <v>NORMAL</v>
      </c>
    </row>
    <row r="369" spans="2:14" x14ac:dyDescent="0.25">
      <c r="B369" s="14">
        <v>365</v>
      </c>
      <c r="C369" s="14" t="s">
        <v>126</v>
      </c>
      <c r="D369" s="14" t="s">
        <v>127</v>
      </c>
      <c r="E369" s="14" t="s">
        <v>60</v>
      </c>
      <c r="F369" s="15">
        <v>0</v>
      </c>
      <c r="G369" s="15">
        <v>0</v>
      </c>
      <c r="H369" s="15">
        <f t="shared" si="15"/>
        <v>0</v>
      </c>
      <c r="I369" s="15">
        <f t="shared" si="16"/>
        <v>0</v>
      </c>
      <c r="J369" s="16">
        <f t="shared" si="17"/>
        <v>0</v>
      </c>
      <c r="K369" s="17">
        <v>27.7</v>
      </c>
      <c r="L369" s="18">
        <v>0.372</v>
      </c>
      <c r="M369" s="16">
        <v>0.97199999999999998</v>
      </c>
      <c r="N369" s="14" t="str">
        <f>IF(G369&gt;='Resumen Ejecutivo'!$C$8, "CRÍTICA", IF(G369&gt;='Resumen Ejecutivo'!$C$7, "TEMPRANA", "NORMAL"))</f>
        <v>NORMAL</v>
      </c>
    </row>
    <row r="370" spans="2:14" x14ac:dyDescent="0.25">
      <c r="B370" s="19">
        <v>366</v>
      </c>
      <c r="C370" s="19" t="s">
        <v>126</v>
      </c>
      <c r="D370" s="19" t="s">
        <v>127</v>
      </c>
      <c r="E370" s="19" t="s">
        <v>61</v>
      </c>
      <c r="F370" s="20">
        <v>2</v>
      </c>
      <c r="G370" s="20">
        <v>2</v>
      </c>
      <c r="H370" s="20">
        <f t="shared" si="15"/>
        <v>0</v>
      </c>
      <c r="I370" s="20">
        <f t="shared" si="16"/>
        <v>0</v>
      </c>
      <c r="J370" s="21">
        <f t="shared" si="17"/>
        <v>0</v>
      </c>
      <c r="K370" s="22">
        <v>28.2</v>
      </c>
      <c r="L370" s="23">
        <v>0.36599999999999999</v>
      </c>
      <c r="M370" s="21">
        <v>0.98799999999999999</v>
      </c>
      <c r="N370" s="19" t="str">
        <f>IF(G370&gt;='Resumen Ejecutivo'!$C$8, "CRÍTICA", IF(G370&gt;='Resumen Ejecutivo'!$C$7, "TEMPRANA", "NORMAL"))</f>
        <v>NORMAL</v>
      </c>
    </row>
    <row r="371" spans="2:14" x14ac:dyDescent="0.25">
      <c r="B371" s="14">
        <v>367</v>
      </c>
      <c r="C371" s="14" t="s">
        <v>126</v>
      </c>
      <c r="D371" s="14" t="s">
        <v>127</v>
      </c>
      <c r="E371" s="14" t="s">
        <v>62</v>
      </c>
      <c r="F371" s="15">
        <v>1</v>
      </c>
      <c r="G371" s="15">
        <v>1</v>
      </c>
      <c r="H371" s="15">
        <f t="shared" si="15"/>
        <v>0</v>
      </c>
      <c r="I371" s="15">
        <f t="shared" si="16"/>
        <v>0</v>
      </c>
      <c r="J371" s="16">
        <f t="shared" si="17"/>
        <v>0</v>
      </c>
      <c r="K371" s="17">
        <v>27.4</v>
      </c>
      <c r="L371" s="18">
        <v>0.35</v>
      </c>
      <c r="M371" s="16">
        <v>0.97899999999999998</v>
      </c>
      <c r="N371" s="14" t="str">
        <f>IF(G371&gt;='Resumen Ejecutivo'!$C$8, "CRÍTICA", IF(G371&gt;='Resumen Ejecutivo'!$C$7, "TEMPRANA", "NORMAL"))</f>
        <v>NORMAL</v>
      </c>
    </row>
    <row r="372" spans="2:14" x14ac:dyDescent="0.25">
      <c r="B372" s="19">
        <v>368</v>
      </c>
      <c r="C372" s="19" t="s">
        <v>126</v>
      </c>
      <c r="D372" s="19" t="s">
        <v>127</v>
      </c>
      <c r="E372" s="19" t="s">
        <v>63</v>
      </c>
      <c r="F372" s="20">
        <v>2</v>
      </c>
      <c r="G372" s="20">
        <v>2</v>
      </c>
      <c r="H372" s="20">
        <f t="shared" si="15"/>
        <v>0</v>
      </c>
      <c r="I372" s="20">
        <f t="shared" si="16"/>
        <v>0</v>
      </c>
      <c r="J372" s="21">
        <f t="shared" si="17"/>
        <v>0</v>
      </c>
      <c r="K372" s="22">
        <v>27.1</v>
      </c>
      <c r="L372" s="23">
        <v>0.35799999999999998</v>
      </c>
      <c r="M372" s="21">
        <v>0.95399999999999996</v>
      </c>
      <c r="N372" s="19" t="str">
        <f>IF(G372&gt;='Resumen Ejecutivo'!$C$8, "CRÍTICA", IF(G372&gt;='Resumen Ejecutivo'!$C$7, "TEMPRANA", "NORMAL"))</f>
        <v>NORMAL</v>
      </c>
    </row>
    <row r="373" spans="2:14" x14ac:dyDescent="0.25">
      <c r="B373" s="14">
        <v>369</v>
      </c>
      <c r="C373" s="14" t="s">
        <v>126</v>
      </c>
      <c r="D373" s="14" t="s">
        <v>127</v>
      </c>
      <c r="E373" s="14" t="s">
        <v>64</v>
      </c>
      <c r="F373" s="15">
        <v>3</v>
      </c>
      <c r="G373" s="15">
        <v>3</v>
      </c>
      <c r="H373" s="15">
        <f t="shared" si="15"/>
        <v>0</v>
      </c>
      <c r="I373" s="15">
        <f t="shared" si="16"/>
        <v>0</v>
      </c>
      <c r="J373" s="16">
        <f t="shared" si="17"/>
        <v>0</v>
      </c>
      <c r="K373" s="17">
        <v>27.6</v>
      </c>
      <c r="L373" s="18">
        <v>0.36799999999999999</v>
      </c>
      <c r="M373" s="16">
        <v>0.96399999999999997</v>
      </c>
      <c r="N373" s="14" t="str">
        <f>IF(G373&gt;='Resumen Ejecutivo'!$C$8, "CRÍTICA", IF(G373&gt;='Resumen Ejecutivo'!$C$7, "TEMPRANA", "NORMAL"))</f>
        <v>NORMAL</v>
      </c>
    </row>
    <row r="374" spans="2:14" x14ac:dyDescent="0.25">
      <c r="B374" s="19">
        <v>370</v>
      </c>
      <c r="C374" s="19" t="s">
        <v>126</v>
      </c>
      <c r="D374" s="19" t="s">
        <v>127</v>
      </c>
      <c r="E374" s="19" t="s">
        <v>65</v>
      </c>
      <c r="F374" s="20">
        <v>1</v>
      </c>
      <c r="G374" s="20">
        <v>1</v>
      </c>
      <c r="H374" s="20">
        <f t="shared" si="15"/>
        <v>0</v>
      </c>
      <c r="I374" s="20">
        <f t="shared" si="16"/>
        <v>0</v>
      </c>
      <c r="J374" s="21">
        <f t="shared" si="17"/>
        <v>0</v>
      </c>
      <c r="K374" s="22">
        <v>28.4</v>
      </c>
      <c r="L374" s="23">
        <v>0.36399999999999999</v>
      </c>
      <c r="M374" s="21">
        <v>0.95599999999999996</v>
      </c>
      <c r="N374" s="19" t="str">
        <f>IF(G374&gt;='Resumen Ejecutivo'!$C$8, "CRÍTICA", IF(G374&gt;='Resumen Ejecutivo'!$C$7, "TEMPRANA", "NORMAL"))</f>
        <v>NORMAL</v>
      </c>
    </row>
    <row r="375" spans="2:14" x14ac:dyDescent="0.25">
      <c r="B375" s="14">
        <v>371</v>
      </c>
      <c r="C375" s="14" t="s">
        <v>126</v>
      </c>
      <c r="D375" s="14" t="s">
        <v>127</v>
      </c>
      <c r="E375" s="14" t="s">
        <v>66</v>
      </c>
      <c r="F375" s="15">
        <v>3</v>
      </c>
      <c r="G375" s="15">
        <v>3</v>
      </c>
      <c r="H375" s="15">
        <f t="shared" si="15"/>
        <v>0</v>
      </c>
      <c r="I375" s="15">
        <f t="shared" si="16"/>
        <v>0</v>
      </c>
      <c r="J375" s="16">
        <f t="shared" si="17"/>
        <v>0</v>
      </c>
      <c r="K375" s="17">
        <v>28.4</v>
      </c>
      <c r="L375" s="18">
        <v>0.35</v>
      </c>
      <c r="M375" s="16">
        <v>0.99</v>
      </c>
      <c r="N375" s="14" t="str">
        <f>IF(G375&gt;='Resumen Ejecutivo'!$C$8, "CRÍTICA", IF(G375&gt;='Resumen Ejecutivo'!$C$7, "TEMPRANA", "NORMAL"))</f>
        <v>NORMAL</v>
      </c>
    </row>
    <row r="376" spans="2:14" x14ac:dyDescent="0.25">
      <c r="B376" s="19">
        <v>372</v>
      </c>
      <c r="C376" s="19" t="s">
        <v>126</v>
      </c>
      <c r="D376" s="19" t="s">
        <v>127</v>
      </c>
      <c r="E376" s="19" t="s">
        <v>67</v>
      </c>
      <c r="F376" s="20">
        <v>0</v>
      </c>
      <c r="G376" s="20">
        <v>0</v>
      </c>
      <c r="H376" s="20">
        <f t="shared" si="15"/>
        <v>0</v>
      </c>
      <c r="I376" s="20">
        <f t="shared" si="16"/>
        <v>0</v>
      </c>
      <c r="J376" s="21">
        <f t="shared" si="17"/>
        <v>0</v>
      </c>
      <c r="K376" s="22">
        <v>27.3</v>
      </c>
      <c r="L376" s="23">
        <v>0.377</v>
      </c>
      <c r="M376" s="21">
        <v>0.98799999999999999</v>
      </c>
      <c r="N376" s="19" t="str">
        <f>IF(G376&gt;='Resumen Ejecutivo'!$C$8, "CRÍTICA", IF(G376&gt;='Resumen Ejecutivo'!$C$7, "TEMPRANA", "NORMAL"))</f>
        <v>NORMAL</v>
      </c>
    </row>
    <row r="377" spans="2:14" x14ac:dyDescent="0.25">
      <c r="B377" s="14">
        <v>373</v>
      </c>
      <c r="C377" s="14" t="s">
        <v>126</v>
      </c>
      <c r="D377" s="14" t="s">
        <v>127</v>
      </c>
      <c r="E377" s="14" t="s">
        <v>68</v>
      </c>
      <c r="F377" s="15">
        <v>2</v>
      </c>
      <c r="G377" s="15">
        <v>2</v>
      </c>
      <c r="H377" s="15">
        <f t="shared" si="15"/>
        <v>0</v>
      </c>
      <c r="I377" s="15">
        <f t="shared" si="16"/>
        <v>0</v>
      </c>
      <c r="J377" s="16">
        <f t="shared" si="17"/>
        <v>0</v>
      </c>
      <c r="K377" s="17">
        <v>27.1</v>
      </c>
      <c r="L377" s="18">
        <v>0.35499999999999998</v>
      </c>
      <c r="M377" s="16">
        <v>0.97499999999999998</v>
      </c>
      <c r="N377" s="14" t="str">
        <f>IF(G377&gt;='Resumen Ejecutivo'!$C$8, "CRÍTICA", IF(G377&gt;='Resumen Ejecutivo'!$C$7, "TEMPRANA", "NORMAL"))</f>
        <v>NORMAL</v>
      </c>
    </row>
    <row r="378" spans="2:14" x14ac:dyDescent="0.25">
      <c r="B378" s="19">
        <v>374</v>
      </c>
      <c r="C378" s="19" t="s">
        <v>126</v>
      </c>
      <c r="D378" s="19" t="s">
        <v>127</v>
      </c>
      <c r="E378" s="19" t="s">
        <v>69</v>
      </c>
      <c r="F378" s="20">
        <v>2</v>
      </c>
      <c r="G378" s="20">
        <v>3</v>
      </c>
      <c r="H378" s="20">
        <f t="shared" si="15"/>
        <v>1</v>
      </c>
      <c r="I378" s="20">
        <f t="shared" si="16"/>
        <v>1</v>
      </c>
      <c r="J378" s="21">
        <f t="shared" si="17"/>
        <v>0.5</v>
      </c>
      <c r="K378" s="22">
        <v>26.9</v>
      </c>
      <c r="L378" s="23">
        <v>0.33700000000000002</v>
      </c>
      <c r="M378" s="21">
        <v>0.96699999999999997</v>
      </c>
      <c r="N378" s="19" t="str">
        <f>IF(G378&gt;='Resumen Ejecutivo'!$C$8, "CRÍTICA", IF(G378&gt;='Resumen Ejecutivo'!$C$7, "TEMPRANA", "NORMAL"))</f>
        <v>NORMAL</v>
      </c>
    </row>
    <row r="379" spans="2:14" x14ac:dyDescent="0.25">
      <c r="B379" s="14">
        <v>375</v>
      </c>
      <c r="C379" s="14" t="s">
        <v>126</v>
      </c>
      <c r="D379" s="14" t="s">
        <v>127</v>
      </c>
      <c r="E379" s="14" t="s">
        <v>70</v>
      </c>
      <c r="F379" s="15">
        <v>2</v>
      </c>
      <c r="G379" s="15">
        <v>2</v>
      </c>
      <c r="H379" s="15">
        <f t="shared" si="15"/>
        <v>0</v>
      </c>
      <c r="I379" s="15">
        <f t="shared" si="16"/>
        <v>0</v>
      </c>
      <c r="J379" s="16">
        <f t="shared" si="17"/>
        <v>0</v>
      </c>
      <c r="K379" s="17">
        <v>27.6</v>
      </c>
      <c r="L379" s="18">
        <v>0.35299999999999998</v>
      </c>
      <c r="M379" s="16">
        <v>0.98</v>
      </c>
      <c r="N379" s="14" t="str">
        <f>IF(G379&gt;='Resumen Ejecutivo'!$C$8, "CRÍTICA", IF(G379&gt;='Resumen Ejecutivo'!$C$7, "TEMPRANA", "NORMAL"))</f>
        <v>NORMAL</v>
      </c>
    </row>
    <row r="380" spans="2:14" x14ac:dyDescent="0.25">
      <c r="B380" s="19">
        <v>376</v>
      </c>
      <c r="C380" s="19" t="s">
        <v>126</v>
      </c>
      <c r="D380" s="19" t="s">
        <v>127</v>
      </c>
      <c r="E380" s="19" t="s">
        <v>71</v>
      </c>
      <c r="F380" s="20">
        <v>1</v>
      </c>
      <c r="G380" s="20">
        <v>1</v>
      </c>
      <c r="H380" s="20">
        <f t="shared" si="15"/>
        <v>0</v>
      </c>
      <c r="I380" s="20">
        <f t="shared" si="16"/>
        <v>0</v>
      </c>
      <c r="J380" s="21">
        <f t="shared" si="17"/>
        <v>0</v>
      </c>
      <c r="K380" s="22">
        <v>27.6</v>
      </c>
      <c r="L380" s="23">
        <v>0.34599999999999997</v>
      </c>
      <c r="M380" s="21">
        <v>0.98099999999999998</v>
      </c>
      <c r="N380" s="19" t="str">
        <f>IF(G380&gt;='Resumen Ejecutivo'!$C$8, "CRÍTICA", IF(G380&gt;='Resumen Ejecutivo'!$C$7, "TEMPRANA", "NORMAL"))</f>
        <v>NORMAL</v>
      </c>
    </row>
    <row r="381" spans="2:14" x14ac:dyDescent="0.25">
      <c r="B381" s="14">
        <v>377</v>
      </c>
      <c r="C381" s="14" t="s">
        <v>126</v>
      </c>
      <c r="D381" s="14" t="s">
        <v>127</v>
      </c>
      <c r="E381" s="14" t="s">
        <v>72</v>
      </c>
      <c r="F381" s="15">
        <v>4</v>
      </c>
      <c r="G381" s="15">
        <v>4</v>
      </c>
      <c r="H381" s="15">
        <f t="shared" si="15"/>
        <v>0</v>
      </c>
      <c r="I381" s="15">
        <f t="shared" si="16"/>
        <v>0</v>
      </c>
      <c r="J381" s="16">
        <f t="shared" si="17"/>
        <v>0</v>
      </c>
      <c r="K381" s="17">
        <v>27.1</v>
      </c>
      <c r="L381" s="18">
        <v>0.38</v>
      </c>
      <c r="M381" s="16">
        <v>0.98699999999999999</v>
      </c>
      <c r="N381" s="14" t="str">
        <f>IF(G381&gt;='Resumen Ejecutivo'!$C$8, "CRÍTICA", IF(G381&gt;='Resumen Ejecutivo'!$C$7, "TEMPRANA", "NORMAL"))</f>
        <v>NORMAL</v>
      </c>
    </row>
    <row r="382" spans="2:14" x14ac:dyDescent="0.25">
      <c r="B382" s="19">
        <v>378</v>
      </c>
      <c r="C382" s="19" t="s">
        <v>126</v>
      </c>
      <c r="D382" s="19" t="s">
        <v>127</v>
      </c>
      <c r="E382" s="19" t="s">
        <v>73</v>
      </c>
      <c r="F382" s="20">
        <v>8</v>
      </c>
      <c r="G382" s="20">
        <v>8</v>
      </c>
      <c r="H382" s="20">
        <f t="shared" si="15"/>
        <v>0</v>
      </c>
      <c r="I382" s="20">
        <f t="shared" si="16"/>
        <v>0</v>
      </c>
      <c r="J382" s="21">
        <f t="shared" si="17"/>
        <v>0</v>
      </c>
      <c r="K382" s="22">
        <v>27.3</v>
      </c>
      <c r="L382" s="23">
        <v>0.34699999999999998</v>
      </c>
      <c r="M382" s="21">
        <v>0.99099999999999999</v>
      </c>
      <c r="N382" s="19" t="str">
        <f>IF(G382&gt;='Resumen Ejecutivo'!$C$8, "CRÍTICA", IF(G382&gt;='Resumen Ejecutivo'!$C$7, "TEMPRANA", "NORMAL"))</f>
        <v>NORMAL</v>
      </c>
    </row>
    <row r="383" spans="2:14" x14ac:dyDescent="0.25">
      <c r="B383" s="14">
        <v>379</v>
      </c>
      <c r="C383" s="14" t="s">
        <v>126</v>
      </c>
      <c r="D383" s="14" t="s">
        <v>127</v>
      </c>
      <c r="E383" s="14" t="s">
        <v>74</v>
      </c>
      <c r="F383" s="15">
        <v>3</v>
      </c>
      <c r="G383" s="15">
        <v>3</v>
      </c>
      <c r="H383" s="15">
        <f t="shared" si="15"/>
        <v>0</v>
      </c>
      <c r="I383" s="15">
        <f t="shared" si="16"/>
        <v>0</v>
      </c>
      <c r="J383" s="16">
        <f t="shared" si="17"/>
        <v>0</v>
      </c>
      <c r="K383" s="17">
        <v>27.7</v>
      </c>
      <c r="L383" s="18">
        <v>0.36499999999999999</v>
      </c>
      <c r="M383" s="16">
        <v>0.96499999999999997</v>
      </c>
      <c r="N383" s="14" t="str">
        <f>IF(G383&gt;='Resumen Ejecutivo'!$C$8, "CRÍTICA", IF(G383&gt;='Resumen Ejecutivo'!$C$7, "TEMPRANA", "NORMAL"))</f>
        <v>NORMAL</v>
      </c>
    </row>
    <row r="384" spans="2:14" x14ac:dyDescent="0.25">
      <c r="B384" s="19">
        <v>380</v>
      </c>
      <c r="C384" s="19" t="s">
        <v>126</v>
      </c>
      <c r="D384" s="19" t="s">
        <v>127</v>
      </c>
      <c r="E384" s="19" t="s">
        <v>75</v>
      </c>
      <c r="F384" s="20">
        <v>6</v>
      </c>
      <c r="G384" s="20">
        <v>6</v>
      </c>
      <c r="H384" s="20">
        <f t="shared" si="15"/>
        <v>0</v>
      </c>
      <c r="I384" s="20">
        <f t="shared" si="16"/>
        <v>0</v>
      </c>
      <c r="J384" s="21">
        <f t="shared" si="17"/>
        <v>0</v>
      </c>
      <c r="K384" s="22">
        <v>28.1</v>
      </c>
      <c r="L384" s="23">
        <v>0.34799999999999998</v>
      </c>
      <c r="M384" s="21">
        <v>0.98399999999999999</v>
      </c>
      <c r="N384" s="19" t="str">
        <f>IF(G384&gt;='Resumen Ejecutivo'!$C$8, "CRÍTICA", IF(G384&gt;='Resumen Ejecutivo'!$C$7, "TEMPRANA", "NORMAL"))</f>
        <v>NORMAL</v>
      </c>
    </row>
    <row r="385" spans="2:14" x14ac:dyDescent="0.25">
      <c r="B385" s="14">
        <v>381</v>
      </c>
      <c r="C385" s="14" t="s">
        <v>126</v>
      </c>
      <c r="D385" s="14" t="s">
        <v>127</v>
      </c>
      <c r="E385" s="14" t="s">
        <v>76</v>
      </c>
      <c r="F385" s="15">
        <v>3</v>
      </c>
      <c r="G385" s="15">
        <v>3</v>
      </c>
      <c r="H385" s="15">
        <f t="shared" si="15"/>
        <v>0</v>
      </c>
      <c r="I385" s="15">
        <f t="shared" si="16"/>
        <v>0</v>
      </c>
      <c r="J385" s="16">
        <f t="shared" si="17"/>
        <v>0</v>
      </c>
      <c r="K385" s="17">
        <v>28.4</v>
      </c>
      <c r="L385" s="18">
        <v>0.35899999999999999</v>
      </c>
      <c r="M385" s="16">
        <v>0.99</v>
      </c>
      <c r="N385" s="14" t="str">
        <f>IF(G385&gt;='Resumen Ejecutivo'!$C$8, "CRÍTICA", IF(G385&gt;='Resumen Ejecutivo'!$C$7, "TEMPRANA", "NORMAL"))</f>
        <v>NORMAL</v>
      </c>
    </row>
    <row r="386" spans="2:14" x14ac:dyDescent="0.25">
      <c r="B386" s="19">
        <v>382</v>
      </c>
      <c r="C386" s="19" t="s">
        <v>126</v>
      </c>
      <c r="D386" s="19" t="s">
        <v>127</v>
      </c>
      <c r="E386" s="19" t="s">
        <v>77</v>
      </c>
      <c r="F386" s="20">
        <v>1</v>
      </c>
      <c r="G386" s="20">
        <v>1</v>
      </c>
      <c r="H386" s="20">
        <f t="shared" si="15"/>
        <v>0</v>
      </c>
      <c r="I386" s="20">
        <f t="shared" si="16"/>
        <v>0</v>
      </c>
      <c r="J386" s="21">
        <f t="shared" si="17"/>
        <v>0</v>
      </c>
      <c r="K386" s="22">
        <v>28</v>
      </c>
      <c r="L386" s="23">
        <v>0.36399999999999999</v>
      </c>
      <c r="M386" s="21">
        <v>0.95099999999999996</v>
      </c>
      <c r="N386" s="19" t="str">
        <f>IF(G386&gt;='Resumen Ejecutivo'!$C$8, "CRÍTICA", IF(G386&gt;='Resumen Ejecutivo'!$C$7, "TEMPRANA", "NORMAL"))</f>
        <v>NORMAL</v>
      </c>
    </row>
    <row r="387" spans="2:14" x14ac:dyDescent="0.25">
      <c r="B387" s="14">
        <v>383</v>
      </c>
      <c r="C387" s="14" t="s">
        <v>126</v>
      </c>
      <c r="D387" s="14" t="s">
        <v>127</v>
      </c>
      <c r="E387" s="14" t="s">
        <v>78</v>
      </c>
      <c r="F387" s="15">
        <v>1</v>
      </c>
      <c r="G387" s="15">
        <v>1</v>
      </c>
      <c r="H387" s="15">
        <f t="shared" si="15"/>
        <v>0</v>
      </c>
      <c r="I387" s="15">
        <f t="shared" si="16"/>
        <v>0</v>
      </c>
      <c r="J387" s="16">
        <f t="shared" si="17"/>
        <v>0</v>
      </c>
      <c r="K387" s="17">
        <v>27.6</v>
      </c>
      <c r="L387" s="18">
        <v>0.378</v>
      </c>
      <c r="M387" s="16">
        <v>0.98899999999999999</v>
      </c>
      <c r="N387" s="14" t="str">
        <f>IF(G387&gt;='Resumen Ejecutivo'!$C$8, "CRÍTICA", IF(G387&gt;='Resumen Ejecutivo'!$C$7, "TEMPRANA", "NORMAL"))</f>
        <v>NORMAL</v>
      </c>
    </row>
    <row r="388" spans="2:14" x14ac:dyDescent="0.25">
      <c r="B388" s="19">
        <v>384</v>
      </c>
      <c r="C388" s="19" t="s">
        <v>126</v>
      </c>
      <c r="D388" s="19" t="s">
        <v>127</v>
      </c>
      <c r="E388" s="19" t="s">
        <v>79</v>
      </c>
      <c r="F388" s="20">
        <v>6</v>
      </c>
      <c r="G388" s="20">
        <v>6</v>
      </c>
      <c r="H388" s="20">
        <f t="shared" si="15"/>
        <v>0</v>
      </c>
      <c r="I388" s="20">
        <f t="shared" si="16"/>
        <v>0</v>
      </c>
      <c r="J388" s="21">
        <f t="shared" si="17"/>
        <v>0</v>
      </c>
      <c r="K388" s="22">
        <v>28</v>
      </c>
      <c r="L388" s="23">
        <v>0.35899999999999999</v>
      </c>
      <c r="M388" s="21">
        <v>0.98599999999999999</v>
      </c>
      <c r="N388" s="19" t="str">
        <f>IF(G388&gt;='Resumen Ejecutivo'!$C$8, "CRÍTICA", IF(G388&gt;='Resumen Ejecutivo'!$C$7, "TEMPRANA", "NORMAL"))</f>
        <v>NORMAL</v>
      </c>
    </row>
    <row r="389" spans="2:14" x14ac:dyDescent="0.25">
      <c r="B389" s="14">
        <v>385</v>
      </c>
      <c r="C389" s="14" t="s">
        <v>126</v>
      </c>
      <c r="D389" s="14" t="s">
        <v>127</v>
      </c>
      <c r="E389" s="14" t="s">
        <v>80</v>
      </c>
      <c r="F389" s="15">
        <v>5</v>
      </c>
      <c r="G389" s="15">
        <v>5</v>
      </c>
      <c r="H389" s="15">
        <f t="shared" ref="H389:H452" si="18">ABS(G389-F389)</f>
        <v>0</v>
      </c>
      <c r="I389" s="15">
        <f t="shared" ref="I389:I452" si="19">(G389-F389)^2</f>
        <v>0</v>
      </c>
      <c r="J389" s="16">
        <f t="shared" ref="J389:J452" si="20">IFERROR(H389/F389,0)</f>
        <v>0</v>
      </c>
      <c r="K389" s="17">
        <v>27.7</v>
      </c>
      <c r="L389" s="18">
        <v>0.33900000000000002</v>
      </c>
      <c r="M389" s="16">
        <v>0.98099999999999998</v>
      </c>
      <c r="N389" s="14" t="str">
        <f>IF(G389&gt;='Resumen Ejecutivo'!$C$8, "CRÍTICA", IF(G389&gt;='Resumen Ejecutivo'!$C$7, "TEMPRANA", "NORMAL"))</f>
        <v>NORMAL</v>
      </c>
    </row>
    <row r="390" spans="2:14" x14ac:dyDescent="0.25">
      <c r="B390" s="19">
        <v>386</v>
      </c>
      <c r="C390" s="19" t="s">
        <v>126</v>
      </c>
      <c r="D390" s="19" t="s">
        <v>127</v>
      </c>
      <c r="E390" s="19" t="s">
        <v>81</v>
      </c>
      <c r="F390" s="20">
        <v>5</v>
      </c>
      <c r="G390" s="20">
        <v>5</v>
      </c>
      <c r="H390" s="20">
        <f t="shared" si="18"/>
        <v>0</v>
      </c>
      <c r="I390" s="20">
        <f t="shared" si="19"/>
        <v>0</v>
      </c>
      <c r="J390" s="21">
        <f t="shared" si="20"/>
        <v>0</v>
      </c>
      <c r="K390" s="22">
        <v>27.8</v>
      </c>
      <c r="L390" s="23">
        <v>0.372</v>
      </c>
      <c r="M390" s="21">
        <v>0.95699999999999996</v>
      </c>
      <c r="N390" s="19" t="str">
        <f>IF(G390&gt;='Resumen Ejecutivo'!$C$8, "CRÍTICA", IF(G390&gt;='Resumen Ejecutivo'!$C$7, "TEMPRANA", "NORMAL"))</f>
        <v>NORMAL</v>
      </c>
    </row>
    <row r="391" spans="2:14" x14ac:dyDescent="0.25">
      <c r="B391" s="14">
        <v>387</v>
      </c>
      <c r="C391" s="14" t="s">
        <v>126</v>
      </c>
      <c r="D391" s="14" t="s">
        <v>127</v>
      </c>
      <c r="E391" s="14" t="s">
        <v>82</v>
      </c>
      <c r="F391" s="15">
        <v>3</v>
      </c>
      <c r="G391" s="15">
        <v>3</v>
      </c>
      <c r="H391" s="15">
        <f t="shared" si="18"/>
        <v>0</v>
      </c>
      <c r="I391" s="15">
        <f t="shared" si="19"/>
        <v>0</v>
      </c>
      <c r="J391" s="16">
        <f t="shared" si="20"/>
        <v>0</v>
      </c>
      <c r="K391" s="17">
        <v>27.9</v>
      </c>
      <c r="L391" s="18">
        <v>0.33200000000000002</v>
      </c>
      <c r="M391" s="16">
        <v>0.997</v>
      </c>
      <c r="N391" s="14" t="str">
        <f>IF(G391&gt;='Resumen Ejecutivo'!$C$8, "CRÍTICA", IF(G391&gt;='Resumen Ejecutivo'!$C$7, "TEMPRANA", "NORMAL"))</f>
        <v>NORMAL</v>
      </c>
    </row>
    <row r="392" spans="2:14" x14ac:dyDescent="0.25">
      <c r="B392" s="19">
        <v>388</v>
      </c>
      <c r="C392" s="19" t="s">
        <v>126</v>
      </c>
      <c r="D392" s="19" t="s">
        <v>127</v>
      </c>
      <c r="E392" s="19" t="s">
        <v>83</v>
      </c>
      <c r="F392" s="20">
        <v>1</v>
      </c>
      <c r="G392" s="20">
        <v>1</v>
      </c>
      <c r="H392" s="20">
        <f t="shared" si="18"/>
        <v>0</v>
      </c>
      <c r="I392" s="20">
        <f t="shared" si="19"/>
        <v>0</v>
      </c>
      <c r="J392" s="21">
        <f t="shared" si="20"/>
        <v>0</v>
      </c>
      <c r="K392" s="22">
        <v>27</v>
      </c>
      <c r="L392" s="23">
        <v>0.33100000000000002</v>
      </c>
      <c r="M392" s="21">
        <v>0.96599999999999997</v>
      </c>
      <c r="N392" s="19" t="str">
        <f>IF(G392&gt;='Resumen Ejecutivo'!$C$8, "CRÍTICA", IF(G392&gt;='Resumen Ejecutivo'!$C$7, "TEMPRANA", "NORMAL"))</f>
        <v>NORMAL</v>
      </c>
    </row>
    <row r="393" spans="2:14" x14ac:dyDescent="0.25">
      <c r="B393" s="14">
        <v>389</v>
      </c>
      <c r="C393" s="14" t="s">
        <v>126</v>
      </c>
      <c r="D393" s="14" t="s">
        <v>127</v>
      </c>
      <c r="E393" s="14" t="s">
        <v>84</v>
      </c>
      <c r="F393" s="15">
        <v>2</v>
      </c>
      <c r="G393" s="15">
        <v>2</v>
      </c>
      <c r="H393" s="15">
        <f t="shared" si="18"/>
        <v>0</v>
      </c>
      <c r="I393" s="15">
        <f t="shared" si="19"/>
        <v>0</v>
      </c>
      <c r="J393" s="16">
        <f t="shared" si="20"/>
        <v>0</v>
      </c>
      <c r="K393" s="17">
        <v>27</v>
      </c>
      <c r="L393" s="18">
        <v>0.36499999999999999</v>
      </c>
      <c r="M393" s="16">
        <v>0.97099999999999997</v>
      </c>
      <c r="N393" s="14" t="str">
        <f>IF(G393&gt;='Resumen Ejecutivo'!$C$8, "CRÍTICA", IF(G393&gt;='Resumen Ejecutivo'!$C$7, "TEMPRANA", "NORMAL"))</f>
        <v>NORMAL</v>
      </c>
    </row>
    <row r="394" spans="2:14" x14ac:dyDescent="0.25">
      <c r="B394" s="19">
        <v>390</v>
      </c>
      <c r="C394" s="19" t="s">
        <v>126</v>
      </c>
      <c r="D394" s="19" t="s">
        <v>127</v>
      </c>
      <c r="E394" s="19" t="s">
        <v>85</v>
      </c>
      <c r="F394" s="20">
        <v>3</v>
      </c>
      <c r="G394" s="20">
        <v>2</v>
      </c>
      <c r="H394" s="20">
        <f t="shared" si="18"/>
        <v>1</v>
      </c>
      <c r="I394" s="20">
        <f t="shared" si="19"/>
        <v>1</v>
      </c>
      <c r="J394" s="21">
        <f t="shared" si="20"/>
        <v>0.33333333333333331</v>
      </c>
      <c r="K394" s="22">
        <v>28</v>
      </c>
      <c r="L394" s="23">
        <v>0.376</v>
      </c>
      <c r="M394" s="21">
        <v>0.99399999999999999</v>
      </c>
      <c r="N394" s="19" t="str">
        <f>IF(G394&gt;='Resumen Ejecutivo'!$C$8, "CRÍTICA", IF(G394&gt;='Resumen Ejecutivo'!$C$7, "TEMPRANA", "NORMAL"))</f>
        <v>NORMAL</v>
      </c>
    </row>
    <row r="395" spans="2:14" x14ac:dyDescent="0.25">
      <c r="B395" s="14">
        <v>391</v>
      </c>
      <c r="C395" s="14" t="s">
        <v>126</v>
      </c>
      <c r="D395" s="14" t="s">
        <v>127</v>
      </c>
      <c r="E395" s="14" t="s">
        <v>86</v>
      </c>
      <c r="F395" s="15">
        <v>8</v>
      </c>
      <c r="G395" s="15">
        <v>8</v>
      </c>
      <c r="H395" s="15">
        <f t="shared" si="18"/>
        <v>0</v>
      </c>
      <c r="I395" s="15">
        <f t="shared" si="19"/>
        <v>0</v>
      </c>
      <c r="J395" s="16">
        <f t="shared" si="20"/>
        <v>0</v>
      </c>
      <c r="K395" s="17">
        <v>28</v>
      </c>
      <c r="L395" s="18">
        <v>0.33300000000000002</v>
      </c>
      <c r="M395" s="16">
        <v>0.95699999999999996</v>
      </c>
      <c r="N395" s="14" t="str">
        <f>IF(G395&gt;='Resumen Ejecutivo'!$C$8, "CRÍTICA", IF(G395&gt;='Resumen Ejecutivo'!$C$7, "TEMPRANA", "NORMAL"))</f>
        <v>NORMAL</v>
      </c>
    </row>
    <row r="396" spans="2:14" x14ac:dyDescent="0.25">
      <c r="B396" s="19">
        <v>392</v>
      </c>
      <c r="C396" s="19" t="s">
        <v>126</v>
      </c>
      <c r="D396" s="19" t="s">
        <v>127</v>
      </c>
      <c r="E396" s="19" t="s">
        <v>87</v>
      </c>
      <c r="F396" s="20">
        <v>5</v>
      </c>
      <c r="G396" s="20">
        <v>5</v>
      </c>
      <c r="H396" s="20">
        <f t="shared" si="18"/>
        <v>0</v>
      </c>
      <c r="I396" s="20">
        <f t="shared" si="19"/>
        <v>0</v>
      </c>
      <c r="J396" s="21">
        <f t="shared" si="20"/>
        <v>0</v>
      </c>
      <c r="K396" s="22">
        <v>27.1</v>
      </c>
      <c r="L396" s="23">
        <v>0.34599999999999997</v>
      </c>
      <c r="M396" s="21">
        <v>0.98299999999999998</v>
      </c>
      <c r="N396" s="19" t="str">
        <f>IF(G396&gt;='Resumen Ejecutivo'!$C$8, "CRÍTICA", IF(G396&gt;='Resumen Ejecutivo'!$C$7, "TEMPRANA", "NORMAL"))</f>
        <v>NORMAL</v>
      </c>
    </row>
    <row r="397" spans="2:14" x14ac:dyDescent="0.25">
      <c r="B397" s="14">
        <v>393</v>
      </c>
      <c r="C397" s="14" t="s">
        <v>126</v>
      </c>
      <c r="D397" s="14" t="s">
        <v>127</v>
      </c>
      <c r="E397" s="14" t="s">
        <v>88</v>
      </c>
      <c r="F397" s="15">
        <v>6</v>
      </c>
      <c r="G397" s="15">
        <v>6</v>
      </c>
      <c r="H397" s="15">
        <f t="shared" si="18"/>
        <v>0</v>
      </c>
      <c r="I397" s="15">
        <f t="shared" si="19"/>
        <v>0</v>
      </c>
      <c r="J397" s="16">
        <f t="shared" si="20"/>
        <v>0</v>
      </c>
      <c r="K397" s="17">
        <v>27.6</v>
      </c>
      <c r="L397" s="18">
        <v>0.34599999999999997</v>
      </c>
      <c r="M397" s="16">
        <v>0.95899999999999996</v>
      </c>
      <c r="N397" s="14" t="str">
        <f>IF(G397&gt;='Resumen Ejecutivo'!$C$8, "CRÍTICA", IF(G397&gt;='Resumen Ejecutivo'!$C$7, "TEMPRANA", "NORMAL"))</f>
        <v>NORMAL</v>
      </c>
    </row>
    <row r="398" spans="2:14" x14ac:dyDescent="0.25">
      <c r="B398" s="19">
        <v>394</v>
      </c>
      <c r="C398" s="19" t="s">
        <v>126</v>
      </c>
      <c r="D398" s="19" t="s">
        <v>127</v>
      </c>
      <c r="E398" s="19" t="s">
        <v>89</v>
      </c>
      <c r="F398" s="20">
        <v>6</v>
      </c>
      <c r="G398" s="20">
        <v>6</v>
      </c>
      <c r="H398" s="20">
        <f t="shared" si="18"/>
        <v>0</v>
      </c>
      <c r="I398" s="20">
        <f t="shared" si="19"/>
        <v>0</v>
      </c>
      <c r="J398" s="21">
        <f t="shared" si="20"/>
        <v>0</v>
      </c>
      <c r="K398" s="22">
        <v>28.3</v>
      </c>
      <c r="L398" s="23">
        <v>0.34699999999999998</v>
      </c>
      <c r="M398" s="21">
        <v>0.96799999999999997</v>
      </c>
      <c r="N398" s="19" t="str">
        <f>IF(G398&gt;='Resumen Ejecutivo'!$C$8, "CRÍTICA", IF(G398&gt;='Resumen Ejecutivo'!$C$7, "TEMPRANA", "NORMAL"))</f>
        <v>NORMAL</v>
      </c>
    </row>
    <row r="399" spans="2:14" x14ac:dyDescent="0.25">
      <c r="B399" s="14">
        <v>395</v>
      </c>
      <c r="C399" s="14" t="s">
        <v>126</v>
      </c>
      <c r="D399" s="14" t="s">
        <v>127</v>
      </c>
      <c r="E399" s="14" t="s">
        <v>90</v>
      </c>
      <c r="F399" s="15">
        <v>7</v>
      </c>
      <c r="G399" s="15">
        <v>7</v>
      </c>
      <c r="H399" s="15">
        <f t="shared" si="18"/>
        <v>0</v>
      </c>
      <c r="I399" s="15">
        <f t="shared" si="19"/>
        <v>0</v>
      </c>
      <c r="J399" s="16">
        <f t="shared" si="20"/>
        <v>0</v>
      </c>
      <c r="K399" s="17">
        <v>28</v>
      </c>
      <c r="L399" s="18">
        <v>0.36599999999999999</v>
      </c>
      <c r="M399" s="16">
        <v>0.98199999999999998</v>
      </c>
      <c r="N399" s="14" t="str">
        <f>IF(G399&gt;='Resumen Ejecutivo'!$C$8, "CRÍTICA", IF(G399&gt;='Resumen Ejecutivo'!$C$7, "TEMPRANA", "NORMAL"))</f>
        <v>NORMAL</v>
      </c>
    </row>
    <row r="400" spans="2:14" x14ac:dyDescent="0.25">
      <c r="B400" s="19">
        <v>396</v>
      </c>
      <c r="C400" s="19" t="s">
        <v>126</v>
      </c>
      <c r="D400" s="19" t="s">
        <v>127</v>
      </c>
      <c r="E400" s="19" t="s">
        <v>91</v>
      </c>
      <c r="F400" s="20">
        <v>8</v>
      </c>
      <c r="G400" s="20">
        <v>9</v>
      </c>
      <c r="H400" s="20">
        <f t="shared" si="18"/>
        <v>1</v>
      </c>
      <c r="I400" s="20">
        <f t="shared" si="19"/>
        <v>1</v>
      </c>
      <c r="J400" s="21">
        <f t="shared" si="20"/>
        <v>0.125</v>
      </c>
      <c r="K400" s="22">
        <v>27.9</v>
      </c>
      <c r="L400" s="23">
        <v>0.36099999999999999</v>
      </c>
      <c r="M400" s="21">
        <v>0.96</v>
      </c>
      <c r="N400" s="19" t="str">
        <f>IF(G400&gt;='Resumen Ejecutivo'!$C$8, "CRÍTICA", IF(G400&gt;='Resumen Ejecutivo'!$C$7, "TEMPRANA", "NORMAL"))</f>
        <v>NORMAL</v>
      </c>
    </row>
    <row r="401" spans="2:14" x14ac:dyDescent="0.25">
      <c r="B401" s="14">
        <v>397</v>
      </c>
      <c r="C401" s="14" t="s">
        <v>126</v>
      </c>
      <c r="D401" s="14" t="s">
        <v>127</v>
      </c>
      <c r="E401" s="14" t="s">
        <v>92</v>
      </c>
      <c r="F401" s="15">
        <v>7</v>
      </c>
      <c r="G401" s="15">
        <v>7</v>
      </c>
      <c r="H401" s="15">
        <f t="shared" si="18"/>
        <v>0</v>
      </c>
      <c r="I401" s="15">
        <f t="shared" si="19"/>
        <v>0</v>
      </c>
      <c r="J401" s="16">
        <f t="shared" si="20"/>
        <v>0</v>
      </c>
      <c r="K401" s="17">
        <v>27.2</v>
      </c>
      <c r="L401" s="18">
        <v>0.35799999999999998</v>
      </c>
      <c r="M401" s="16">
        <v>0.96099999999999997</v>
      </c>
      <c r="N401" s="14" t="str">
        <f>IF(G401&gt;='Resumen Ejecutivo'!$C$8, "CRÍTICA", IF(G401&gt;='Resumen Ejecutivo'!$C$7, "TEMPRANA", "NORMAL"))</f>
        <v>NORMAL</v>
      </c>
    </row>
    <row r="402" spans="2:14" x14ac:dyDescent="0.25">
      <c r="B402" s="19">
        <v>398</v>
      </c>
      <c r="C402" s="19" t="s">
        <v>126</v>
      </c>
      <c r="D402" s="19" t="s">
        <v>127</v>
      </c>
      <c r="E402" s="19" t="s">
        <v>93</v>
      </c>
      <c r="F402" s="20">
        <v>9</v>
      </c>
      <c r="G402" s="20">
        <v>9</v>
      </c>
      <c r="H402" s="20">
        <f t="shared" si="18"/>
        <v>0</v>
      </c>
      <c r="I402" s="20">
        <f t="shared" si="19"/>
        <v>0</v>
      </c>
      <c r="J402" s="21">
        <f t="shared" si="20"/>
        <v>0</v>
      </c>
      <c r="K402" s="22">
        <v>28.4</v>
      </c>
      <c r="L402" s="23">
        <v>0.34499999999999997</v>
      </c>
      <c r="M402" s="21">
        <v>0.96399999999999997</v>
      </c>
      <c r="N402" s="19" t="str">
        <f>IF(G402&gt;='Resumen Ejecutivo'!$C$8, "CRÍTICA", IF(G402&gt;='Resumen Ejecutivo'!$C$7, "TEMPRANA", "NORMAL"))</f>
        <v>NORMAL</v>
      </c>
    </row>
    <row r="403" spans="2:14" x14ac:dyDescent="0.25">
      <c r="B403" s="14">
        <v>399</v>
      </c>
      <c r="C403" s="14" t="s">
        <v>126</v>
      </c>
      <c r="D403" s="14" t="s">
        <v>127</v>
      </c>
      <c r="E403" s="14" t="s">
        <v>94</v>
      </c>
      <c r="F403" s="15">
        <v>4</v>
      </c>
      <c r="G403" s="15">
        <v>4</v>
      </c>
      <c r="H403" s="15">
        <f t="shared" si="18"/>
        <v>0</v>
      </c>
      <c r="I403" s="15">
        <f t="shared" si="19"/>
        <v>0</v>
      </c>
      <c r="J403" s="16">
        <f t="shared" si="20"/>
        <v>0</v>
      </c>
      <c r="K403" s="17">
        <v>27.1</v>
      </c>
      <c r="L403" s="18">
        <v>0.36499999999999999</v>
      </c>
      <c r="M403" s="16">
        <v>0.96599999999999997</v>
      </c>
      <c r="N403" s="14" t="str">
        <f>IF(G403&gt;='Resumen Ejecutivo'!$C$8, "CRÍTICA", IF(G403&gt;='Resumen Ejecutivo'!$C$7, "TEMPRANA", "NORMAL"))</f>
        <v>NORMAL</v>
      </c>
    </row>
    <row r="404" spans="2:14" x14ac:dyDescent="0.25">
      <c r="B404" s="19">
        <v>400</v>
      </c>
      <c r="C404" s="19" t="s">
        <v>126</v>
      </c>
      <c r="D404" s="19" t="s">
        <v>127</v>
      </c>
      <c r="E404" s="19" t="s">
        <v>95</v>
      </c>
      <c r="F404" s="20">
        <v>9</v>
      </c>
      <c r="G404" s="20">
        <v>9</v>
      </c>
      <c r="H404" s="20">
        <f t="shared" si="18"/>
        <v>0</v>
      </c>
      <c r="I404" s="20">
        <f t="shared" si="19"/>
        <v>0</v>
      </c>
      <c r="J404" s="21">
        <f t="shared" si="20"/>
        <v>0</v>
      </c>
      <c r="K404" s="22">
        <v>27.4</v>
      </c>
      <c r="L404" s="23">
        <v>0.377</v>
      </c>
      <c r="M404" s="21">
        <v>0.99</v>
      </c>
      <c r="N404" s="19" t="str">
        <f>IF(G404&gt;='Resumen Ejecutivo'!$C$8, "CRÍTICA", IF(G404&gt;='Resumen Ejecutivo'!$C$7, "TEMPRANA", "NORMAL"))</f>
        <v>NORMAL</v>
      </c>
    </row>
    <row r="405" spans="2:14" x14ac:dyDescent="0.25">
      <c r="B405" s="14">
        <v>401</v>
      </c>
      <c r="C405" s="14" t="s">
        <v>126</v>
      </c>
      <c r="D405" s="14" t="s">
        <v>127</v>
      </c>
      <c r="E405" s="14" t="s">
        <v>96</v>
      </c>
      <c r="F405" s="15">
        <v>9</v>
      </c>
      <c r="G405" s="15">
        <v>9</v>
      </c>
      <c r="H405" s="15">
        <f t="shared" si="18"/>
        <v>0</v>
      </c>
      <c r="I405" s="15">
        <f t="shared" si="19"/>
        <v>0</v>
      </c>
      <c r="J405" s="16">
        <f t="shared" si="20"/>
        <v>0</v>
      </c>
      <c r="K405" s="17">
        <v>27.2</v>
      </c>
      <c r="L405" s="18">
        <v>0.33600000000000002</v>
      </c>
      <c r="M405" s="16">
        <v>0.98399999999999999</v>
      </c>
      <c r="N405" s="14" t="str">
        <f>IF(G405&gt;='Resumen Ejecutivo'!$C$8, "CRÍTICA", IF(G405&gt;='Resumen Ejecutivo'!$C$7, "TEMPRANA", "NORMAL"))</f>
        <v>NORMAL</v>
      </c>
    </row>
    <row r="406" spans="2:14" x14ac:dyDescent="0.25">
      <c r="B406" s="19">
        <v>402</v>
      </c>
      <c r="C406" s="19" t="s">
        <v>126</v>
      </c>
      <c r="D406" s="19" t="s">
        <v>127</v>
      </c>
      <c r="E406" s="19" t="s">
        <v>97</v>
      </c>
      <c r="F406" s="20">
        <v>6</v>
      </c>
      <c r="G406" s="20">
        <v>6</v>
      </c>
      <c r="H406" s="20">
        <f t="shared" si="18"/>
        <v>0</v>
      </c>
      <c r="I406" s="20">
        <f t="shared" si="19"/>
        <v>0</v>
      </c>
      <c r="J406" s="21">
        <f t="shared" si="20"/>
        <v>0</v>
      </c>
      <c r="K406" s="22">
        <v>27.4</v>
      </c>
      <c r="L406" s="23">
        <v>0.379</v>
      </c>
      <c r="M406" s="21">
        <v>0.99099999999999999</v>
      </c>
      <c r="N406" s="19" t="str">
        <f>IF(G406&gt;='Resumen Ejecutivo'!$C$8, "CRÍTICA", IF(G406&gt;='Resumen Ejecutivo'!$C$7, "TEMPRANA", "NORMAL"))</f>
        <v>NORMAL</v>
      </c>
    </row>
    <row r="407" spans="2:14" x14ac:dyDescent="0.25">
      <c r="B407" s="14">
        <v>403</v>
      </c>
      <c r="C407" s="14" t="s">
        <v>126</v>
      </c>
      <c r="D407" s="14" t="s">
        <v>127</v>
      </c>
      <c r="E407" s="14" t="s">
        <v>98</v>
      </c>
      <c r="F407" s="15">
        <v>7</v>
      </c>
      <c r="G407" s="15">
        <v>8</v>
      </c>
      <c r="H407" s="15">
        <f t="shared" si="18"/>
        <v>1</v>
      </c>
      <c r="I407" s="15">
        <f t="shared" si="19"/>
        <v>1</v>
      </c>
      <c r="J407" s="16">
        <f t="shared" si="20"/>
        <v>0.14285714285714285</v>
      </c>
      <c r="K407" s="17">
        <v>28.3</v>
      </c>
      <c r="L407" s="18">
        <v>0.37</v>
      </c>
      <c r="M407" s="16">
        <v>0.96499999999999997</v>
      </c>
      <c r="N407" s="14" t="str">
        <f>IF(G407&gt;='Resumen Ejecutivo'!$C$8, "CRÍTICA", IF(G407&gt;='Resumen Ejecutivo'!$C$7, "TEMPRANA", "NORMAL"))</f>
        <v>NORMAL</v>
      </c>
    </row>
    <row r="408" spans="2:14" x14ac:dyDescent="0.25">
      <c r="B408" s="19">
        <v>404</v>
      </c>
      <c r="C408" s="19" t="s">
        <v>126</v>
      </c>
      <c r="D408" s="19" t="s">
        <v>127</v>
      </c>
      <c r="E408" s="19" t="s">
        <v>99</v>
      </c>
      <c r="F408" s="20">
        <v>8</v>
      </c>
      <c r="G408" s="20">
        <v>8</v>
      </c>
      <c r="H408" s="20">
        <f t="shared" si="18"/>
        <v>0</v>
      </c>
      <c r="I408" s="20">
        <f t="shared" si="19"/>
        <v>0</v>
      </c>
      <c r="J408" s="21">
        <f t="shared" si="20"/>
        <v>0</v>
      </c>
      <c r="K408" s="22">
        <v>27.3</v>
      </c>
      <c r="L408" s="23">
        <v>0.36599999999999999</v>
      </c>
      <c r="M408" s="21">
        <v>0.96699999999999997</v>
      </c>
      <c r="N408" s="19" t="str">
        <f>IF(G408&gt;='Resumen Ejecutivo'!$C$8, "CRÍTICA", IF(G408&gt;='Resumen Ejecutivo'!$C$7, "TEMPRANA", "NORMAL"))</f>
        <v>NORMAL</v>
      </c>
    </row>
    <row r="409" spans="2:14" x14ac:dyDescent="0.25">
      <c r="B409" s="14">
        <v>405</v>
      </c>
      <c r="C409" s="14" t="s">
        <v>126</v>
      </c>
      <c r="D409" s="14" t="s">
        <v>127</v>
      </c>
      <c r="E409" s="14" t="s">
        <v>100</v>
      </c>
      <c r="F409" s="15">
        <v>5</v>
      </c>
      <c r="G409" s="15">
        <v>5</v>
      </c>
      <c r="H409" s="15">
        <f t="shared" si="18"/>
        <v>0</v>
      </c>
      <c r="I409" s="15">
        <f t="shared" si="19"/>
        <v>0</v>
      </c>
      <c r="J409" s="16">
        <f t="shared" si="20"/>
        <v>0</v>
      </c>
      <c r="K409" s="17">
        <v>27.5</v>
      </c>
      <c r="L409" s="18">
        <v>0.34300000000000003</v>
      </c>
      <c r="M409" s="16">
        <v>0.97399999999999998</v>
      </c>
      <c r="N409" s="14" t="str">
        <f>IF(G409&gt;='Resumen Ejecutivo'!$C$8, "CRÍTICA", IF(G409&gt;='Resumen Ejecutivo'!$C$7, "TEMPRANA", "NORMAL"))</f>
        <v>NORMAL</v>
      </c>
    </row>
    <row r="410" spans="2:14" x14ac:dyDescent="0.25">
      <c r="B410" s="19">
        <v>406</v>
      </c>
      <c r="C410" s="19" t="s">
        <v>126</v>
      </c>
      <c r="D410" s="19" t="s">
        <v>127</v>
      </c>
      <c r="E410" s="19" t="s">
        <v>101</v>
      </c>
      <c r="F410" s="20">
        <v>1</v>
      </c>
      <c r="G410" s="20">
        <v>1</v>
      </c>
      <c r="H410" s="20">
        <f t="shared" si="18"/>
        <v>0</v>
      </c>
      <c r="I410" s="20">
        <f t="shared" si="19"/>
        <v>0</v>
      </c>
      <c r="J410" s="21">
        <f t="shared" si="20"/>
        <v>0</v>
      </c>
      <c r="K410" s="22">
        <v>27.1</v>
      </c>
      <c r="L410" s="23">
        <v>0.35699999999999998</v>
      </c>
      <c r="M410" s="21">
        <v>0.997</v>
      </c>
      <c r="N410" s="19" t="str">
        <f>IF(G410&gt;='Resumen Ejecutivo'!$C$8, "CRÍTICA", IF(G410&gt;='Resumen Ejecutivo'!$C$7, "TEMPRANA", "NORMAL"))</f>
        <v>NORMAL</v>
      </c>
    </row>
    <row r="411" spans="2:14" x14ac:dyDescent="0.25">
      <c r="B411" s="14">
        <v>407</v>
      </c>
      <c r="C411" s="14" t="s">
        <v>126</v>
      </c>
      <c r="D411" s="14" t="s">
        <v>127</v>
      </c>
      <c r="E411" s="14" t="s">
        <v>102</v>
      </c>
      <c r="F411" s="15">
        <v>3</v>
      </c>
      <c r="G411" s="15">
        <v>3</v>
      </c>
      <c r="H411" s="15">
        <f t="shared" si="18"/>
        <v>0</v>
      </c>
      <c r="I411" s="15">
        <f t="shared" si="19"/>
        <v>0</v>
      </c>
      <c r="J411" s="16">
        <f t="shared" si="20"/>
        <v>0</v>
      </c>
      <c r="K411" s="17">
        <v>27.9</v>
      </c>
      <c r="L411" s="18">
        <v>0.33700000000000002</v>
      </c>
      <c r="M411" s="16">
        <v>0.98099999999999998</v>
      </c>
      <c r="N411" s="14" t="str">
        <f>IF(G411&gt;='Resumen Ejecutivo'!$C$8, "CRÍTICA", IF(G411&gt;='Resumen Ejecutivo'!$C$7, "TEMPRANA", "NORMAL"))</f>
        <v>NORMAL</v>
      </c>
    </row>
    <row r="412" spans="2:14" x14ac:dyDescent="0.25">
      <c r="B412" s="19">
        <v>408</v>
      </c>
      <c r="C412" s="19" t="s">
        <v>126</v>
      </c>
      <c r="D412" s="19" t="s">
        <v>127</v>
      </c>
      <c r="E412" s="19" t="s">
        <v>103</v>
      </c>
      <c r="F412" s="20">
        <v>3</v>
      </c>
      <c r="G412" s="20">
        <v>3</v>
      </c>
      <c r="H412" s="20">
        <f t="shared" si="18"/>
        <v>0</v>
      </c>
      <c r="I412" s="20">
        <f t="shared" si="19"/>
        <v>0</v>
      </c>
      <c r="J412" s="21">
        <f t="shared" si="20"/>
        <v>0</v>
      </c>
      <c r="K412" s="22">
        <v>27.7</v>
      </c>
      <c r="L412" s="23">
        <v>0.34200000000000003</v>
      </c>
      <c r="M412" s="21">
        <v>0.98299999999999998</v>
      </c>
      <c r="N412" s="19" t="str">
        <f>IF(G412&gt;='Resumen Ejecutivo'!$C$8, "CRÍTICA", IF(G412&gt;='Resumen Ejecutivo'!$C$7, "TEMPRANA", "NORMAL"))</f>
        <v>NORMAL</v>
      </c>
    </row>
    <row r="413" spans="2:14" x14ac:dyDescent="0.25">
      <c r="B413" s="14">
        <v>409</v>
      </c>
      <c r="C413" s="14" t="s">
        <v>126</v>
      </c>
      <c r="D413" s="14" t="s">
        <v>127</v>
      </c>
      <c r="E413" s="14" t="s">
        <v>104</v>
      </c>
      <c r="F413" s="15">
        <v>4</v>
      </c>
      <c r="G413" s="15">
        <v>4</v>
      </c>
      <c r="H413" s="15">
        <f t="shared" si="18"/>
        <v>0</v>
      </c>
      <c r="I413" s="15">
        <f t="shared" si="19"/>
        <v>0</v>
      </c>
      <c r="J413" s="16">
        <f t="shared" si="20"/>
        <v>0</v>
      </c>
      <c r="K413" s="17">
        <v>27.6</v>
      </c>
      <c r="L413" s="18">
        <v>0.36199999999999999</v>
      </c>
      <c r="M413" s="16">
        <v>0.95299999999999996</v>
      </c>
      <c r="N413" s="14" t="str">
        <f>IF(G413&gt;='Resumen Ejecutivo'!$C$8, "CRÍTICA", IF(G413&gt;='Resumen Ejecutivo'!$C$7, "TEMPRANA", "NORMAL"))</f>
        <v>NORMAL</v>
      </c>
    </row>
    <row r="414" spans="2:14" x14ac:dyDescent="0.25">
      <c r="B414" s="19">
        <v>410</v>
      </c>
      <c r="C414" s="19" t="s">
        <v>126</v>
      </c>
      <c r="D414" s="19" t="s">
        <v>127</v>
      </c>
      <c r="E414" s="19" t="s">
        <v>105</v>
      </c>
      <c r="F414" s="20">
        <v>2</v>
      </c>
      <c r="G414" s="20">
        <v>2</v>
      </c>
      <c r="H414" s="20">
        <f t="shared" si="18"/>
        <v>0</v>
      </c>
      <c r="I414" s="20">
        <f t="shared" si="19"/>
        <v>0</v>
      </c>
      <c r="J414" s="21">
        <f t="shared" si="20"/>
        <v>0</v>
      </c>
      <c r="K414" s="22">
        <v>27.5</v>
      </c>
      <c r="L414" s="23">
        <v>0.36599999999999999</v>
      </c>
      <c r="M414" s="21">
        <v>0.95499999999999996</v>
      </c>
      <c r="N414" s="19" t="str">
        <f>IF(G414&gt;='Resumen Ejecutivo'!$C$8, "CRÍTICA", IF(G414&gt;='Resumen Ejecutivo'!$C$7, "TEMPRANA", "NORMAL"))</f>
        <v>NORMAL</v>
      </c>
    </row>
    <row r="415" spans="2:14" x14ac:dyDescent="0.25">
      <c r="B415" s="14">
        <v>411</v>
      </c>
      <c r="C415" s="14" t="s">
        <v>126</v>
      </c>
      <c r="D415" s="14" t="s">
        <v>127</v>
      </c>
      <c r="E415" s="14" t="s">
        <v>106</v>
      </c>
      <c r="F415" s="15">
        <v>3</v>
      </c>
      <c r="G415" s="15">
        <v>3</v>
      </c>
      <c r="H415" s="15">
        <f t="shared" si="18"/>
        <v>0</v>
      </c>
      <c r="I415" s="15">
        <f t="shared" si="19"/>
        <v>0</v>
      </c>
      <c r="J415" s="16">
        <f t="shared" si="20"/>
        <v>0</v>
      </c>
      <c r="K415" s="17">
        <v>28</v>
      </c>
      <c r="L415" s="18">
        <v>0.33</v>
      </c>
      <c r="M415" s="16">
        <v>0.97799999999999998</v>
      </c>
      <c r="N415" s="14" t="str">
        <f>IF(G415&gt;='Resumen Ejecutivo'!$C$8, "CRÍTICA", IF(G415&gt;='Resumen Ejecutivo'!$C$7, "TEMPRANA", "NORMAL"))</f>
        <v>NORMAL</v>
      </c>
    </row>
    <row r="416" spans="2:14" x14ac:dyDescent="0.25">
      <c r="B416" s="19">
        <v>412</v>
      </c>
      <c r="C416" s="19" t="s">
        <v>126</v>
      </c>
      <c r="D416" s="19" t="s">
        <v>127</v>
      </c>
      <c r="E416" s="19" t="s">
        <v>107</v>
      </c>
      <c r="F416" s="20">
        <v>2</v>
      </c>
      <c r="G416" s="20">
        <v>2</v>
      </c>
      <c r="H416" s="20">
        <f t="shared" si="18"/>
        <v>0</v>
      </c>
      <c r="I416" s="20">
        <f t="shared" si="19"/>
        <v>0</v>
      </c>
      <c r="J416" s="21">
        <f t="shared" si="20"/>
        <v>0</v>
      </c>
      <c r="K416" s="22">
        <v>28.3</v>
      </c>
      <c r="L416" s="23">
        <v>0.35</v>
      </c>
      <c r="M416" s="21">
        <v>0.997</v>
      </c>
      <c r="N416" s="19" t="str">
        <f>IF(G416&gt;='Resumen Ejecutivo'!$C$8, "CRÍTICA", IF(G416&gt;='Resumen Ejecutivo'!$C$7, "TEMPRANA", "NORMAL"))</f>
        <v>NORMAL</v>
      </c>
    </row>
    <row r="417" spans="2:14" x14ac:dyDescent="0.25">
      <c r="B417" s="14">
        <v>413</v>
      </c>
      <c r="C417" s="14" t="s">
        <v>126</v>
      </c>
      <c r="D417" s="14" t="s">
        <v>127</v>
      </c>
      <c r="E417" s="14" t="s">
        <v>108</v>
      </c>
      <c r="F417" s="15">
        <v>4</v>
      </c>
      <c r="G417" s="15">
        <v>3</v>
      </c>
      <c r="H417" s="15">
        <f t="shared" si="18"/>
        <v>1</v>
      </c>
      <c r="I417" s="15">
        <f t="shared" si="19"/>
        <v>1</v>
      </c>
      <c r="J417" s="16">
        <f t="shared" si="20"/>
        <v>0.25</v>
      </c>
      <c r="K417" s="17">
        <v>28.2</v>
      </c>
      <c r="L417" s="18">
        <v>0.35399999999999998</v>
      </c>
      <c r="M417" s="16">
        <v>0.96</v>
      </c>
      <c r="N417" s="14" t="str">
        <f>IF(G417&gt;='Resumen Ejecutivo'!$C$8, "CRÍTICA", IF(G417&gt;='Resumen Ejecutivo'!$C$7, "TEMPRANA", "NORMAL"))</f>
        <v>NORMAL</v>
      </c>
    </row>
    <row r="418" spans="2:14" x14ac:dyDescent="0.25">
      <c r="B418" s="19">
        <v>414</v>
      </c>
      <c r="C418" s="19" t="s">
        <v>126</v>
      </c>
      <c r="D418" s="19" t="s">
        <v>127</v>
      </c>
      <c r="E418" s="19" t="s">
        <v>109</v>
      </c>
      <c r="F418" s="20">
        <v>3</v>
      </c>
      <c r="G418" s="20">
        <v>3</v>
      </c>
      <c r="H418" s="20">
        <f t="shared" si="18"/>
        <v>0</v>
      </c>
      <c r="I418" s="20">
        <f t="shared" si="19"/>
        <v>0</v>
      </c>
      <c r="J418" s="21">
        <f t="shared" si="20"/>
        <v>0</v>
      </c>
      <c r="K418" s="22">
        <v>28.3</v>
      </c>
      <c r="L418" s="23">
        <v>0.34599999999999997</v>
      </c>
      <c r="M418" s="21">
        <v>0.98199999999999998</v>
      </c>
      <c r="N418" s="19" t="str">
        <f>IF(G418&gt;='Resumen Ejecutivo'!$C$8, "CRÍTICA", IF(G418&gt;='Resumen Ejecutivo'!$C$7, "TEMPRANA", "NORMAL"))</f>
        <v>NORMAL</v>
      </c>
    </row>
    <row r="419" spans="2:14" x14ac:dyDescent="0.25">
      <c r="B419" s="14">
        <v>415</v>
      </c>
      <c r="C419" s="14" t="s">
        <v>126</v>
      </c>
      <c r="D419" s="14" t="s">
        <v>127</v>
      </c>
      <c r="E419" s="14" t="s">
        <v>110</v>
      </c>
      <c r="F419" s="15">
        <v>2</v>
      </c>
      <c r="G419" s="15">
        <v>2</v>
      </c>
      <c r="H419" s="15">
        <f t="shared" si="18"/>
        <v>0</v>
      </c>
      <c r="I419" s="15">
        <f t="shared" si="19"/>
        <v>0</v>
      </c>
      <c r="J419" s="16">
        <f t="shared" si="20"/>
        <v>0</v>
      </c>
      <c r="K419" s="17">
        <v>28.3</v>
      </c>
      <c r="L419" s="18">
        <v>0.33400000000000002</v>
      </c>
      <c r="M419" s="16">
        <v>0.97899999999999998</v>
      </c>
      <c r="N419" s="14" t="str">
        <f>IF(G419&gt;='Resumen Ejecutivo'!$C$8, "CRÍTICA", IF(G419&gt;='Resumen Ejecutivo'!$C$7, "TEMPRANA", "NORMAL"))</f>
        <v>NORMAL</v>
      </c>
    </row>
    <row r="420" spans="2:14" x14ac:dyDescent="0.25">
      <c r="B420" s="19">
        <v>416</v>
      </c>
      <c r="C420" s="19" t="s">
        <v>126</v>
      </c>
      <c r="D420" s="19" t="s">
        <v>127</v>
      </c>
      <c r="E420" s="19" t="s">
        <v>111</v>
      </c>
      <c r="F420" s="20">
        <v>0</v>
      </c>
      <c r="G420" s="20">
        <v>0</v>
      </c>
      <c r="H420" s="20">
        <f t="shared" si="18"/>
        <v>0</v>
      </c>
      <c r="I420" s="20">
        <f t="shared" si="19"/>
        <v>0</v>
      </c>
      <c r="J420" s="21">
        <f t="shared" si="20"/>
        <v>0</v>
      </c>
      <c r="K420" s="22">
        <v>27.7</v>
      </c>
      <c r="L420" s="23">
        <v>0.36599999999999999</v>
      </c>
      <c r="M420" s="21">
        <v>0.997</v>
      </c>
      <c r="N420" s="19" t="str">
        <f>IF(G420&gt;='Resumen Ejecutivo'!$C$8, "CRÍTICA", IF(G420&gt;='Resumen Ejecutivo'!$C$7, "TEMPRANA", "NORMAL"))</f>
        <v>NORMAL</v>
      </c>
    </row>
    <row r="421" spans="2:14" x14ac:dyDescent="0.25">
      <c r="B421" s="14">
        <v>417</v>
      </c>
      <c r="C421" s="14" t="s">
        <v>126</v>
      </c>
      <c r="D421" s="14" t="s">
        <v>127</v>
      </c>
      <c r="E421" s="14" t="s">
        <v>112</v>
      </c>
      <c r="F421" s="15">
        <v>1</v>
      </c>
      <c r="G421" s="15">
        <v>1</v>
      </c>
      <c r="H421" s="15">
        <f t="shared" si="18"/>
        <v>0</v>
      </c>
      <c r="I421" s="15">
        <f t="shared" si="19"/>
        <v>0</v>
      </c>
      <c r="J421" s="16">
        <f t="shared" si="20"/>
        <v>0</v>
      </c>
      <c r="K421" s="17">
        <v>28.3</v>
      </c>
      <c r="L421" s="18">
        <v>0.33900000000000002</v>
      </c>
      <c r="M421" s="16">
        <v>0.99399999999999999</v>
      </c>
      <c r="N421" s="14" t="str">
        <f>IF(G421&gt;='Resumen Ejecutivo'!$C$8, "CRÍTICA", IF(G421&gt;='Resumen Ejecutivo'!$C$7, "TEMPRANA", "NORMAL"))</f>
        <v>NORMAL</v>
      </c>
    </row>
    <row r="422" spans="2:14" x14ac:dyDescent="0.25">
      <c r="B422" s="19">
        <v>418</v>
      </c>
      <c r="C422" s="19" t="s">
        <v>126</v>
      </c>
      <c r="D422" s="19" t="s">
        <v>127</v>
      </c>
      <c r="E422" s="19" t="s">
        <v>113</v>
      </c>
      <c r="F422" s="20">
        <v>1</v>
      </c>
      <c r="G422" s="20">
        <v>1</v>
      </c>
      <c r="H422" s="20">
        <f t="shared" si="18"/>
        <v>0</v>
      </c>
      <c r="I422" s="20">
        <f t="shared" si="19"/>
        <v>0</v>
      </c>
      <c r="J422" s="21">
        <f t="shared" si="20"/>
        <v>0</v>
      </c>
      <c r="K422" s="22">
        <v>27.1</v>
      </c>
      <c r="L422" s="23">
        <v>0.376</v>
      </c>
      <c r="M422" s="21">
        <v>1</v>
      </c>
      <c r="N422" s="19" t="str">
        <f>IF(G422&gt;='Resumen Ejecutivo'!$C$8, "CRÍTICA", IF(G422&gt;='Resumen Ejecutivo'!$C$7, "TEMPRANA", "NORMAL"))</f>
        <v>NORMAL</v>
      </c>
    </row>
    <row r="423" spans="2:14" x14ac:dyDescent="0.25">
      <c r="B423" s="14">
        <v>419</v>
      </c>
      <c r="C423" s="14" t="s">
        <v>126</v>
      </c>
      <c r="D423" s="14" t="s">
        <v>127</v>
      </c>
      <c r="E423" s="14" t="s">
        <v>114</v>
      </c>
      <c r="F423" s="15">
        <v>3</v>
      </c>
      <c r="G423" s="15">
        <v>3</v>
      </c>
      <c r="H423" s="15">
        <f t="shared" si="18"/>
        <v>0</v>
      </c>
      <c r="I423" s="15">
        <f t="shared" si="19"/>
        <v>0</v>
      </c>
      <c r="J423" s="16">
        <f t="shared" si="20"/>
        <v>0</v>
      </c>
      <c r="K423" s="17">
        <v>27.4</v>
      </c>
      <c r="L423" s="18">
        <v>0.35499999999999998</v>
      </c>
      <c r="M423" s="16">
        <v>0.997</v>
      </c>
      <c r="N423" s="14" t="str">
        <f>IF(G423&gt;='Resumen Ejecutivo'!$C$8, "CRÍTICA", IF(G423&gt;='Resumen Ejecutivo'!$C$7, "TEMPRANA", "NORMAL"))</f>
        <v>NORMAL</v>
      </c>
    </row>
    <row r="424" spans="2:14" x14ac:dyDescent="0.25">
      <c r="B424" s="19">
        <v>420</v>
      </c>
      <c r="C424" s="19" t="s">
        <v>126</v>
      </c>
      <c r="D424" s="19" t="s">
        <v>127</v>
      </c>
      <c r="E424" s="19" t="s">
        <v>115</v>
      </c>
      <c r="F424" s="20">
        <v>2</v>
      </c>
      <c r="G424" s="20">
        <v>1</v>
      </c>
      <c r="H424" s="20">
        <f t="shared" si="18"/>
        <v>1</v>
      </c>
      <c r="I424" s="20">
        <f t="shared" si="19"/>
        <v>1</v>
      </c>
      <c r="J424" s="21">
        <f t="shared" si="20"/>
        <v>0.5</v>
      </c>
      <c r="K424" s="22">
        <v>28.3</v>
      </c>
      <c r="L424" s="23">
        <v>0.376</v>
      </c>
      <c r="M424" s="21">
        <v>0.99399999999999999</v>
      </c>
      <c r="N424" s="19" t="str">
        <f>IF(G424&gt;='Resumen Ejecutivo'!$C$8, "CRÍTICA", IF(G424&gt;='Resumen Ejecutivo'!$C$7, "TEMPRANA", "NORMAL"))</f>
        <v>NORMAL</v>
      </c>
    </row>
    <row r="425" spans="2:14" x14ac:dyDescent="0.25">
      <c r="B425" s="14">
        <v>421</v>
      </c>
      <c r="C425" s="14" t="s">
        <v>128</v>
      </c>
      <c r="D425" s="14" t="s">
        <v>129</v>
      </c>
      <c r="E425" s="14" t="s">
        <v>56</v>
      </c>
      <c r="F425" s="15">
        <v>1</v>
      </c>
      <c r="G425" s="15">
        <v>1</v>
      </c>
      <c r="H425" s="15">
        <f t="shared" si="18"/>
        <v>0</v>
      </c>
      <c r="I425" s="15">
        <f t="shared" si="19"/>
        <v>0</v>
      </c>
      <c r="J425" s="16">
        <f t="shared" si="20"/>
        <v>0</v>
      </c>
      <c r="K425" s="17">
        <v>27.9</v>
      </c>
      <c r="L425" s="18">
        <v>0.35399999999999998</v>
      </c>
      <c r="M425" s="16">
        <v>0.995</v>
      </c>
      <c r="N425" s="14" t="str">
        <f>IF(G425&gt;='Resumen Ejecutivo'!$C$8, "CRÍTICA", IF(G425&gt;='Resumen Ejecutivo'!$C$7, "TEMPRANA", "NORMAL"))</f>
        <v>NORMAL</v>
      </c>
    </row>
    <row r="426" spans="2:14" x14ac:dyDescent="0.25">
      <c r="B426" s="19">
        <v>422</v>
      </c>
      <c r="C426" s="19" t="s">
        <v>128</v>
      </c>
      <c r="D426" s="19" t="s">
        <v>129</v>
      </c>
      <c r="E426" s="19" t="s">
        <v>57</v>
      </c>
      <c r="F426" s="20">
        <v>2</v>
      </c>
      <c r="G426" s="20">
        <v>2</v>
      </c>
      <c r="H426" s="20">
        <f t="shared" si="18"/>
        <v>0</v>
      </c>
      <c r="I426" s="20">
        <f t="shared" si="19"/>
        <v>0</v>
      </c>
      <c r="J426" s="21">
        <f t="shared" si="20"/>
        <v>0</v>
      </c>
      <c r="K426" s="22">
        <v>27.5</v>
      </c>
      <c r="L426" s="23">
        <v>0.33300000000000002</v>
      </c>
      <c r="M426" s="21">
        <v>0.95699999999999996</v>
      </c>
      <c r="N426" s="19" t="str">
        <f>IF(G426&gt;='Resumen Ejecutivo'!$C$8, "CRÍTICA", IF(G426&gt;='Resumen Ejecutivo'!$C$7, "TEMPRANA", "NORMAL"))</f>
        <v>NORMAL</v>
      </c>
    </row>
    <row r="427" spans="2:14" x14ac:dyDescent="0.25">
      <c r="B427" s="14">
        <v>423</v>
      </c>
      <c r="C427" s="14" t="s">
        <v>128</v>
      </c>
      <c r="D427" s="14" t="s">
        <v>129</v>
      </c>
      <c r="E427" s="14" t="s">
        <v>58</v>
      </c>
      <c r="F427" s="15">
        <v>1</v>
      </c>
      <c r="G427" s="15">
        <v>2</v>
      </c>
      <c r="H427" s="15">
        <f t="shared" si="18"/>
        <v>1</v>
      </c>
      <c r="I427" s="15">
        <f t="shared" si="19"/>
        <v>1</v>
      </c>
      <c r="J427" s="16">
        <f t="shared" si="20"/>
        <v>1</v>
      </c>
      <c r="K427" s="17">
        <v>27.5</v>
      </c>
      <c r="L427" s="18">
        <v>0.35799999999999998</v>
      </c>
      <c r="M427" s="16">
        <v>0.97799999999999998</v>
      </c>
      <c r="N427" s="14" t="str">
        <f>IF(G427&gt;='Resumen Ejecutivo'!$C$8, "CRÍTICA", IF(G427&gt;='Resumen Ejecutivo'!$C$7, "TEMPRANA", "NORMAL"))</f>
        <v>NORMAL</v>
      </c>
    </row>
    <row r="428" spans="2:14" x14ac:dyDescent="0.25">
      <c r="B428" s="19">
        <v>424</v>
      </c>
      <c r="C428" s="19" t="s">
        <v>128</v>
      </c>
      <c r="D428" s="19" t="s">
        <v>129</v>
      </c>
      <c r="E428" s="19" t="s">
        <v>59</v>
      </c>
      <c r="F428" s="20">
        <v>1</v>
      </c>
      <c r="G428" s="20">
        <v>1</v>
      </c>
      <c r="H428" s="20">
        <f t="shared" si="18"/>
        <v>0</v>
      </c>
      <c r="I428" s="20">
        <f t="shared" si="19"/>
        <v>0</v>
      </c>
      <c r="J428" s="21">
        <f t="shared" si="20"/>
        <v>0</v>
      </c>
      <c r="K428" s="22">
        <v>27.9</v>
      </c>
      <c r="L428" s="23">
        <v>0.34499999999999997</v>
      </c>
      <c r="M428" s="21">
        <v>0.95099999999999996</v>
      </c>
      <c r="N428" s="19" t="str">
        <f>IF(G428&gt;='Resumen Ejecutivo'!$C$8, "CRÍTICA", IF(G428&gt;='Resumen Ejecutivo'!$C$7, "TEMPRANA", "NORMAL"))</f>
        <v>NORMAL</v>
      </c>
    </row>
    <row r="429" spans="2:14" x14ac:dyDescent="0.25">
      <c r="B429" s="14">
        <v>425</v>
      </c>
      <c r="C429" s="14" t="s">
        <v>128</v>
      </c>
      <c r="D429" s="14" t="s">
        <v>129</v>
      </c>
      <c r="E429" s="14" t="s">
        <v>60</v>
      </c>
      <c r="F429" s="15">
        <v>3</v>
      </c>
      <c r="G429" s="15">
        <v>3</v>
      </c>
      <c r="H429" s="15">
        <f t="shared" si="18"/>
        <v>0</v>
      </c>
      <c r="I429" s="15">
        <f t="shared" si="19"/>
        <v>0</v>
      </c>
      <c r="J429" s="16">
        <f t="shared" si="20"/>
        <v>0</v>
      </c>
      <c r="K429" s="17">
        <v>27.2</v>
      </c>
      <c r="L429" s="18">
        <v>0.33</v>
      </c>
      <c r="M429" s="16">
        <v>0.96099999999999997</v>
      </c>
      <c r="N429" s="14" t="str">
        <f>IF(G429&gt;='Resumen Ejecutivo'!$C$8, "CRÍTICA", IF(G429&gt;='Resumen Ejecutivo'!$C$7, "TEMPRANA", "NORMAL"))</f>
        <v>NORMAL</v>
      </c>
    </row>
    <row r="430" spans="2:14" x14ac:dyDescent="0.25">
      <c r="B430" s="19">
        <v>426</v>
      </c>
      <c r="C430" s="19" t="s">
        <v>128</v>
      </c>
      <c r="D430" s="19" t="s">
        <v>129</v>
      </c>
      <c r="E430" s="19" t="s">
        <v>61</v>
      </c>
      <c r="F430" s="20">
        <v>1</v>
      </c>
      <c r="G430" s="20">
        <v>2</v>
      </c>
      <c r="H430" s="20">
        <f t="shared" si="18"/>
        <v>1</v>
      </c>
      <c r="I430" s="20">
        <f t="shared" si="19"/>
        <v>1</v>
      </c>
      <c r="J430" s="21">
        <f t="shared" si="20"/>
        <v>1</v>
      </c>
      <c r="K430" s="22">
        <v>26.9</v>
      </c>
      <c r="L430" s="23">
        <v>0.35099999999999998</v>
      </c>
      <c r="M430" s="21">
        <v>0.98499999999999999</v>
      </c>
      <c r="N430" s="19" t="str">
        <f>IF(G430&gt;='Resumen Ejecutivo'!$C$8, "CRÍTICA", IF(G430&gt;='Resumen Ejecutivo'!$C$7, "TEMPRANA", "NORMAL"))</f>
        <v>NORMAL</v>
      </c>
    </row>
    <row r="431" spans="2:14" x14ac:dyDescent="0.25">
      <c r="B431" s="14">
        <v>427</v>
      </c>
      <c r="C431" s="14" t="s">
        <v>128</v>
      </c>
      <c r="D431" s="14" t="s">
        <v>129</v>
      </c>
      <c r="E431" s="14" t="s">
        <v>62</v>
      </c>
      <c r="F431" s="15">
        <v>0</v>
      </c>
      <c r="G431" s="15">
        <v>0</v>
      </c>
      <c r="H431" s="15">
        <f t="shared" si="18"/>
        <v>0</v>
      </c>
      <c r="I431" s="15">
        <f t="shared" si="19"/>
        <v>0</v>
      </c>
      <c r="J431" s="16">
        <f t="shared" si="20"/>
        <v>0</v>
      </c>
      <c r="K431" s="17">
        <v>27.7</v>
      </c>
      <c r="L431" s="18">
        <v>0.33300000000000002</v>
      </c>
      <c r="M431" s="16">
        <v>0.995</v>
      </c>
      <c r="N431" s="14" t="str">
        <f>IF(G431&gt;='Resumen Ejecutivo'!$C$8, "CRÍTICA", IF(G431&gt;='Resumen Ejecutivo'!$C$7, "TEMPRANA", "NORMAL"))</f>
        <v>NORMAL</v>
      </c>
    </row>
    <row r="432" spans="2:14" x14ac:dyDescent="0.25">
      <c r="B432" s="19">
        <v>428</v>
      </c>
      <c r="C432" s="19" t="s">
        <v>128</v>
      </c>
      <c r="D432" s="19" t="s">
        <v>129</v>
      </c>
      <c r="E432" s="19" t="s">
        <v>63</v>
      </c>
      <c r="F432" s="20">
        <v>3</v>
      </c>
      <c r="G432" s="20">
        <v>3</v>
      </c>
      <c r="H432" s="20">
        <f t="shared" si="18"/>
        <v>0</v>
      </c>
      <c r="I432" s="20">
        <f t="shared" si="19"/>
        <v>0</v>
      </c>
      <c r="J432" s="21">
        <f t="shared" si="20"/>
        <v>0</v>
      </c>
      <c r="K432" s="22">
        <v>28.4</v>
      </c>
      <c r="L432" s="23">
        <v>0.35399999999999998</v>
      </c>
      <c r="M432" s="21">
        <v>0.96399999999999997</v>
      </c>
      <c r="N432" s="19" t="str">
        <f>IF(G432&gt;='Resumen Ejecutivo'!$C$8, "CRÍTICA", IF(G432&gt;='Resumen Ejecutivo'!$C$7, "TEMPRANA", "NORMAL"))</f>
        <v>NORMAL</v>
      </c>
    </row>
    <row r="433" spans="2:14" x14ac:dyDescent="0.25">
      <c r="B433" s="14">
        <v>429</v>
      </c>
      <c r="C433" s="14" t="s">
        <v>128</v>
      </c>
      <c r="D433" s="14" t="s">
        <v>129</v>
      </c>
      <c r="E433" s="14" t="s">
        <v>64</v>
      </c>
      <c r="F433" s="15">
        <v>3</v>
      </c>
      <c r="G433" s="15">
        <v>3</v>
      </c>
      <c r="H433" s="15">
        <f t="shared" si="18"/>
        <v>0</v>
      </c>
      <c r="I433" s="15">
        <f t="shared" si="19"/>
        <v>0</v>
      </c>
      <c r="J433" s="16">
        <f t="shared" si="20"/>
        <v>0</v>
      </c>
      <c r="K433" s="17">
        <v>27.1</v>
      </c>
      <c r="L433" s="18">
        <v>0.33700000000000002</v>
      </c>
      <c r="M433" s="16">
        <v>0.98199999999999998</v>
      </c>
      <c r="N433" s="14" t="str">
        <f>IF(G433&gt;='Resumen Ejecutivo'!$C$8, "CRÍTICA", IF(G433&gt;='Resumen Ejecutivo'!$C$7, "TEMPRANA", "NORMAL"))</f>
        <v>NORMAL</v>
      </c>
    </row>
    <row r="434" spans="2:14" x14ac:dyDescent="0.25">
      <c r="B434" s="19">
        <v>430</v>
      </c>
      <c r="C434" s="19" t="s">
        <v>128</v>
      </c>
      <c r="D434" s="19" t="s">
        <v>129</v>
      </c>
      <c r="E434" s="19" t="s">
        <v>65</v>
      </c>
      <c r="F434" s="20">
        <v>2</v>
      </c>
      <c r="G434" s="20">
        <v>2</v>
      </c>
      <c r="H434" s="20">
        <f t="shared" si="18"/>
        <v>0</v>
      </c>
      <c r="I434" s="20">
        <f t="shared" si="19"/>
        <v>0</v>
      </c>
      <c r="J434" s="21">
        <f t="shared" si="20"/>
        <v>0</v>
      </c>
      <c r="K434" s="22">
        <v>28</v>
      </c>
      <c r="L434" s="23">
        <v>0.378</v>
      </c>
      <c r="M434" s="21">
        <v>0.96899999999999997</v>
      </c>
      <c r="N434" s="19" t="str">
        <f>IF(G434&gt;='Resumen Ejecutivo'!$C$8, "CRÍTICA", IF(G434&gt;='Resumen Ejecutivo'!$C$7, "TEMPRANA", "NORMAL"))</f>
        <v>NORMAL</v>
      </c>
    </row>
    <row r="435" spans="2:14" x14ac:dyDescent="0.25">
      <c r="B435" s="14">
        <v>431</v>
      </c>
      <c r="C435" s="14" t="s">
        <v>128</v>
      </c>
      <c r="D435" s="14" t="s">
        <v>129</v>
      </c>
      <c r="E435" s="14" t="s">
        <v>66</v>
      </c>
      <c r="F435" s="15">
        <v>1</v>
      </c>
      <c r="G435" s="15">
        <v>1</v>
      </c>
      <c r="H435" s="15">
        <f t="shared" si="18"/>
        <v>0</v>
      </c>
      <c r="I435" s="15">
        <f t="shared" si="19"/>
        <v>0</v>
      </c>
      <c r="J435" s="16">
        <f t="shared" si="20"/>
        <v>0</v>
      </c>
      <c r="K435" s="17">
        <v>28.2</v>
      </c>
      <c r="L435" s="18">
        <v>0.35199999999999998</v>
      </c>
      <c r="M435" s="16">
        <v>0.996</v>
      </c>
      <c r="N435" s="14" t="str">
        <f>IF(G435&gt;='Resumen Ejecutivo'!$C$8, "CRÍTICA", IF(G435&gt;='Resumen Ejecutivo'!$C$7, "TEMPRANA", "NORMAL"))</f>
        <v>NORMAL</v>
      </c>
    </row>
    <row r="436" spans="2:14" x14ac:dyDescent="0.25">
      <c r="B436" s="19">
        <v>432</v>
      </c>
      <c r="C436" s="19" t="s">
        <v>128</v>
      </c>
      <c r="D436" s="19" t="s">
        <v>129</v>
      </c>
      <c r="E436" s="19" t="s">
        <v>67</v>
      </c>
      <c r="F436" s="20">
        <v>0</v>
      </c>
      <c r="G436" s="20">
        <v>0</v>
      </c>
      <c r="H436" s="20">
        <f t="shared" si="18"/>
        <v>0</v>
      </c>
      <c r="I436" s="20">
        <f t="shared" si="19"/>
        <v>0</v>
      </c>
      <c r="J436" s="21">
        <f t="shared" si="20"/>
        <v>0</v>
      </c>
      <c r="K436" s="22">
        <v>27.4</v>
      </c>
      <c r="L436" s="23">
        <v>0.33400000000000002</v>
      </c>
      <c r="M436" s="21">
        <v>0.998</v>
      </c>
      <c r="N436" s="19" t="str">
        <f>IF(G436&gt;='Resumen Ejecutivo'!$C$8, "CRÍTICA", IF(G436&gt;='Resumen Ejecutivo'!$C$7, "TEMPRANA", "NORMAL"))</f>
        <v>NORMAL</v>
      </c>
    </row>
    <row r="437" spans="2:14" x14ac:dyDescent="0.25">
      <c r="B437" s="14">
        <v>433</v>
      </c>
      <c r="C437" s="14" t="s">
        <v>128</v>
      </c>
      <c r="D437" s="14" t="s">
        <v>129</v>
      </c>
      <c r="E437" s="14" t="s">
        <v>68</v>
      </c>
      <c r="F437" s="15">
        <v>1</v>
      </c>
      <c r="G437" s="15">
        <v>1</v>
      </c>
      <c r="H437" s="15">
        <f t="shared" si="18"/>
        <v>0</v>
      </c>
      <c r="I437" s="15">
        <f t="shared" si="19"/>
        <v>0</v>
      </c>
      <c r="J437" s="16">
        <f t="shared" si="20"/>
        <v>0</v>
      </c>
      <c r="K437" s="17">
        <v>28.2</v>
      </c>
      <c r="L437" s="18">
        <v>0.33700000000000002</v>
      </c>
      <c r="M437" s="16">
        <v>0.99299999999999999</v>
      </c>
      <c r="N437" s="14" t="str">
        <f>IF(G437&gt;='Resumen Ejecutivo'!$C$8, "CRÍTICA", IF(G437&gt;='Resumen Ejecutivo'!$C$7, "TEMPRANA", "NORMAL"))</f>
        <v>NORMAL</v>
      </c>
    </row>
    <row r="438" spans="2:14" x14ac:dyDescent="0.25">
      <c r="B438" s="19">
        <v>434</v>
      </c>
      <c r="C438" s="19" t="s">
        <v>128</v>
      </c>
      <c r="D438" s="19" t="s">
        <v>129</v>
      </c>
      <c r="E438" s="19" t="s">
        <v>69</v>
      </c>
      <c r="F438" s="20">
        <v>1</v>
      </c>
      <c r="G438" s="20">
        <v>1</v>
      </c>
      <c r="H438" s="20">
        <f t="shared" si="18"/>
        <v>0</v>
      </c>
      <c r="I438" s="20">
        <f t="shared" si="19"/>
        <v>0</v>
      </c>
      <c r="J438" s="21">
        <f t="shared" si="20"/>
        <v>0</v>
      </c>
      <c r="K438" s="22">
        <v>27</v>
      </c>
      <c r="L438" s="23">
        <v>0.38</v>
      </c>
      <c r="M438" s="21">
        <v>0.97</v>
      </c>
      <c r="N438" s="19" t="str">
        <f>IF(G438&gt;='Resumen Ejecutivo'!$C$8, "CRÍTICA", IF(G438&gt;='Resumen Ejecutivo'!$C$7, "TEMPRANA", "NORMAL"))</f>
        <v>NORMAL</v>
      </c>
    </row>
    <row r="439" spans="2:14" x14ac:dyDescent="0.25">
      <c r="B439" s="14">
        <v>435</v>
      </c>
      <c r="C439" s="14" t="s">
        <v>128</v>
      </c>
      <c r="D439" s="14" t="s">
        <v>129</v>
      </c>
      <c r="E439" s="14" t="s">
        <v>70</v>
      </c>
      <c r="F439" s="15">
        <v>2</v>
      </c>
      <c r="G439" s="15">
        <v>2</v>
      </c>
      <c r="H439" s="15">
        <f t="shared" si="18"/>
        <v>0</v>
      </c>
      <c r="I439" s="15">
        <f t="shared" si="19"/>
        <v>0</v>
      </c>
      <c r="J439" s="16">
        <f t="shared" si="20"/>
        <v>0</v>
      </c>
      <c r="K439" s="17">
        <v>27</v>
      </c>
      <c r="L439" s="18">
        <v>0.379</v>
      </c>
      <c r="M439" s="16">
        <v>0.99199999999999999</v>
      </c>
      <c r="N439" s="14" t="str">
        <f>IF(G439&gt;='Resumen Ejecutivo'!$C$8, "CRÍTICA", IF(G439&gt;='Resumen Ejecutivo'!$C$7, "TEMPRANA", "NORMAL"))</f>
        <v>NORMAL</v>
      </c>
    </row>
    <row r="440" spans="2:14" x14ac:dyDescent="0.25">
      <c r="B440" s="19">
        <v>436</v>
      </c>
      <c r="C440" s="19" t="s">
        <v>128</v>
      </c>
      <c r="D440" s="19" t="s">
        <v>129</v>
      </c>
      <c r="E440" s="19" t="s">
        <v>71</v>
      </c>
      <c r="F440" s="20">
        <v>3</v>
      </c>
      <c r="G440" s="20">
        <v>3</v>
      </c>
      <c r="H440" s="20">
        <f t="shared" si="18"/>
        <v>0</v>
      </c>
      <c r="I440" s="20">
        <f t="shared" si="19"/>
        <v>0</v>
      </c>
      <c r="J440" s="21">
        <f t="shared" si="20"/>
        <v>0</v>
      </c>
      <c r="K440" s="22">
        <v>28</v>
      </c>
      <c r="L440" s="23">
        <v>0.379</v>
      </c>
      <c r="M440" s="21">
        <v>0.97299999999999998</v>
      </c>
      <c r="N440" s="19" t="str">
        <f>IF(G440&gt;='Resumen Ejecutivo'!$C$8, "CRÍTICA", IF(G440&gt;='Resumen Ejecutivo'!$C$7, "TEMPRANA", "NORMAL"))</f>
        <v>NORMAL</v>
      </c>
    </row>
    <row r="441" spans="2:14" x14ac:dyDescent="0.25">
      <c r="B441" s="14">
        <v>437</v>
      </c>
      <c r="C441" s="14" t="s">
        <v>128</v>
      </c>
      <c r="D441" s="14" t="s">
        <v>129</v>
      </c>
      <c r="E441" s="14" t="s">
        <v>72</v>
      </c>
      <c r="F441" s="15">
        <v>3</v>
      </c>
      <c r="G441" s="15">
        <v>3</v>
      </c>
      <c r="H441" s="15">
        <f t="shared" si="18"/>
        <v>0</v>
      </c>
      <c r="I441" s="15">
        <f t="shared" si="19"/>
        <v>0</v>
      </c>
      <c r="J441" s="16">
        <f t="shared" si="20"/>
        <v>0</v>
      </c>
      <c r="K441" s="17">
        <v>28</v>
      </c>
      <c r="L441" s="18">
        <v>0.35099999999999998</v>
      </c>
      <c r="M441" s="16">
        <v>0.96899999999999997</v>
      </c>
      <c r="N441" s="14" t="str">
        <f>IF(G441&gt;='Resumen Ejecutivo'!$C$8, "CRÍTICA", IF(G441&gt;='Resumen Ejecutivo'!$C$7, "TEMPRANA", "NORMAL"))</f>
        <v>NORMAL</v>
      </c>
    </row>
    <row r="442" spans="2:14" x14ac:dyDescent="0.25">
      <c r="B442" s="19">
        <v>438</v>
      </c>
      <c r="C442" s="19" t="s">
        <v>128</v>
      </c>
      <c r="D442" s="19" t="s">
        <v>129</v>
      </c>
      <c r="E442" s="19" t="s">
        <v>73</v>
      </c>
      <c r="F442" s="20">
        <v>5</v>
      </c>
      <c r="G442" s="20">
        <v>5</v>
      </c>
      <c r="H442" s="20">
        <f t="shared" si="18"/>
        <v>0</v>
      </c>
      <c r="I442" s="20">
        <f t="shared" si="19"/>
        <v>0</v>
      </c>
      <c r="J442" s="21">
        <f t="shared" si="20"/>
        <v>0</v>
      </c>
      <c r="K442" s="22">
        <v>27.2</v>
      </c>
      <c r="L442" s="23">
        <v>0.35299999999999998</v>
      </c>
      <c r="M442" s="21">
        <v>0.95799999999999996</v>
      </c>
      <c r="N442" s="19" t="str">
        <f>IF(G442&gt;='Resumen Ejecutivo'!$C$8, "CRÍTICA", IF(G442&gt;='Resumen Ejecutivo'!$C$7, "TEMPRANA", "NORMAL"))</f>
        <v>NORMAL</v>
      </c>
    </row>
    <row r="443" spans="2:14" x14ac:dyDescent="0.25">
      <c r="B443" s="14">
        <v>439</v>
      </c>
      <c r="C443" s="14" t="s">
        <v>128</v>
      </c>
      <c r="D443" s="14" t="s">
        <v>129</v>
      </c>
      <c r="E443" s="14" t="s">
        <v>74</v>
      </c>
      <c r="F443" s="15">
        <v>3</v>
      </c>
      <c r="G443" s="15">
        <v>3</v>
      </c>
      <c r="H443" s="15">
        <f t="shared" si="18"/>
        <v>0</v>
      </c>
      <c r="I443" s="15">
        <f t="shared" si="19"/>
        <v>0</v>
      </c>
      <c r="J443" s="16">
        <f t="shared" si="20"/>
        <v>0</v>
      </c>
      <c r="K443" s="17">
        <v>27.1</v>
      </c>
      <c r="L443" s="18">
        <v>0.374</v>
      </c>
      <c r="M443" s="16">
        <v>0.98799999999999999</v>
      </c>
      <c r="N443" s="14" t="str">
        <f>IF(G443&gt;='Resumen Ejecutivo'!$C$8, "CRÍTICA", IF(G443&gt;='Resumen Ejecutivo'!$C$7, "TEMPRANA", "NORMAL"))</f>
        <v>NORMAL</v>
      </c>
    </row>
    <row r="444" spans="2:14" x14ac:dyDescent="0.25">
      <c r="B444" s="19">
        <v>440</v>
      </c>
      <c r="C444" s="19" t="s">
        <v>128</v>
      </c>
      <c r="D444" s="19" t="s">
        <v>129</v>
      </c>
      <c r="E444" s="19" t="s">
        <v>75</v>
      </c>
      <c r="F444" s="20">
        <v>3</v>
      </c>
      <c r="G444" s="20">
        <v>3</v>
      </c>
      <c r="H444" s="20">
        <f t="shared" si="18"/>
        <v>0</v>
      </c>
      <c r="I444" s="20">
        <f t="shared" si="19"/>
        <v>0</v>
      </c>
      <c r="J444" s="21">
        <f t="shared" si="20"/>
        <v>0</v>
      </c>
      <c r="K444" s="22">
        <v>26.9</v>
      </c>
      <c r="L444" s="23">
        <v>0.36299999999999999</v>
      </c>
      <c r="M444" s="21">
        <v>0.98099999999999998</v>
      </c>
      <c r="N444" s="19" t="str">
        <f>IF(G444&gt;='Resumen Ejecutivo'!$C$8, "CRÍTICA", IF(G444&gt;='Resumen Ejecutivo'!$C$7, "TEMPRANA", "NORMAL"))</f>
        <v>NORMAL</v>
      </c>
    </row>
    <row r="445" spans="2:14" x14ac:dyDescent="0.25">
      <c r="B445" s="14">
        <v>441</v>
      </c>
      <c r="C445" s="14" t="s">
        <v>128</v>
      </c>
      <c r="D445" s="14" t="s">
        <v>129</v>
      </c>
      <c r="E445" s="14" t="s">
        <v>76</v>
      </c>
      <c r="F445" s="15">
        <v>4</v>
      </c>
      <c r="G445" s="15">
        <v>4</v>
      </c>
      <c r="H445" s="15">
        <f t="shared" si="18"/>
        <v>0</v>
      </c>
      <c r="I445" s="15">
        <f t="shared" si="19"/>
        <v>0</v>
      </c>
      <c r="J445" s="16">
        <f t="shared" si="20"/>
        <v>0</v>
      </c>
      <c r="K445" s="17">
        <v>28.3</v>
      </c>
      <c r="L445" s="18">
        <v>0.374</v>
      </c>
      <c r="M445" s="16">
        <v>0.96199999999999997</v>
      </c>
      <c r="N445" s="14" t="str">
        <f>IF(G445&gt;='Resumen Ejecutivo'!$C$8, "CRÍTICA", IF(G445&gt;='Resumen Ejecutivo'!$C$7, "TEMPRANA", "NORMAL"))</f>
        <v>NORMAL</v>
      </c>
    </row>
    <row r="446" spans="2:14" x14ac:dyDescent="0.25">
      <c r="B446" s="19">
        <v>442</v>
      </c>
      <c r="C446" s="19" t="s">
        <v>128</v>
      </c>
      <c r="D446" s="19" t="s">
        <v>129</v>
      </c>
      <c r="E446" s="19" t="s">
        <v>77</v>
      </c>
      <c r="F446" s="20">
        <v>4</v>
      </c>
      <c r="G446" s="20">
        <v>4</v>
      </c>
      <c r="H446" s="20">
        <f t="shared" si="18"/>
        <v>0</v>
      </c>
      <c r="I446" s="20">
        <f t="shared" si="19"/>
        <v>0</v>
      </c>
      <c r="J446" s="21">
        <f t="shared" si="20"/>
        <v>0</v>
      </c>
      <c r="K446" s="22">
        <v>26.9</v>
      </c>
      <c r="L446" s="23">
        <v>0.36</v>
      </c>
      <c r="M446" s="21">
        <v>0.97199999999999998</v>
      </c>
      <c r="N446" s="19" t="str">
        <f>IF(G446&gt;='Resumen Ejecutivo'!$C$8, "CRÍTICA", IF(G446&gt;='Resumen Ejecutivo'!$C$7, "TEMPRANA", "NORMAL"))</f>
        <v>NORMAL</v>
      </c>
    </row>
    <row r="447" spans="2:14" x14ac:dyDescent="0.25">
      <c r="B447" s="14">
        <v>443</v>
      </c>
      <c r="C447" s="14" t="s">
        <v>128</v>
      </c>
      <c r="D447" s="14" t="s">
        <v>129</v>
      </c>
      <c r="E447" s="14" t="s">
        <v>78</v>
      </c>
      <c r="F447" s="15">
        <v>3</v>
      </c>
      <c r="G447" s="15">
        <v>3</v>
      </c>
      <c r="H447" s="15">
        <f t="shared" si="18"/>
        <v>0</v>
      </c>
      <c r="I447" s="15">
        <f t="shared" si="19"/>
        <v>0</v>
      </c>
      <c r="J447" s="16">
        <f t="shared" si="20"/>
        <v>0</v>
      </c>
      <c r="K447" s="17">
        <v>27.9</v>
      </c>
      <c r="L447" s="18">
        <v>0.374</v>
      </c>
      <c r="M447" s="16">
        <v>0.96199999999999997</v>
      </c>
      <c r="N447" s="14" t="str">
        <f>IF(G447&gt;='Resumen Ejecutivo'!$C$8, "CRÍTICA", IF(G447&gt;='Resumen Ejecutivo'!$C$7, "TEMPRANA", "NORMAL"))</f>
        <v>NORMAL</v>
      </c>
    </row>
    <row r="448" spans="2:14" x14ac:dyDescent="0.25">
      <c r="B448" s="19">
        <v>444</v>
      </c>
      <c r="C448" s="19" t="s">
        <v>128</v>
      </c>
      <c r="D448" s="19" t="s">
        <v>129</v>
      </c>
      <c r="E448" s="19" t="s">
        <v>79</v>
      </c>
      <c r="F448" s="20">
        <v>2</v>
      </c>
      <c r="G448" s="20">
        <v>2</v>
      </c>
      <c r="H448" s="20">
        <f t="shared" si="18"/>
        <v>0</v>
      </c>
      <c r="I448" s="20">
        <f t="shared" si="19"/>
        <v>0</v>
      </c>
      <c r="J448" s="21">
        <f t="shared" si="20"/>
        <v>0</v>
      </c>
      <c r="K448" s="22">
        <v>26.9</v>
      </c>
      <c r="L448" s="23">
        <v>0.35199999999999998</v>
      </c>
      <c r="M448" s="21">
        <v>0.97699999999999998</v>
      </c>
      <c r="N448" s="19" t="str">
        <f>IF(G448&gt;='Resumen Ejecutivo'!$C$8, "CRÍTICA", IF(G448&gt;='Resumen Ejecutivo'!$C$7, "TEMPRANA", "NORMAL"))</f>
        <v>NORMAL</v>
      </c>
    </row>
    <row r="449" spans="2:14" x14ac:dyDescent="0.25">
      <c r="B449" s="14">
        <v>445</v>
      </c>
      <c r="C449" s="14" t="s">
        <v>128</v>
      </c>
      <c r="D449" s="14" t="s">
        <v>129</v>
      </c>
      <c r="E449" s="14" t="s">
        <v>80</v>
      </c>
      <c r="F449" s="15">
        <v>3</v>
      </c>
      <c r="G449" s="15">
        <v>3</v>
      </c>
      <c r="H449" s="15">
        <f t="shared" si="18"/>
        <v>0</v>
      </c>
      <c r="I449" s="15">
        <f t="shared" si="19"/>
        <v>0</v>
      </c>
      <c r="J449" s="16">
        <f t="shared" si="20"/>
        <v>0</v>
      </c>
      <c r="K449" s="17">
        <v>28</v>
      </c>
      <c r="L449" s="18">
        <v>0.36899999999999999</v>
      </c>
      <c r="M449" s="16">
        <v>0.95699999999999996</v>
      </c>
      <c r="N449" s="14" t="str">
        <f>IF(G449&gt;='Resumen Ejecutivo'!$C$8, "CRÍTICA", IF(G449&gt;='Resumen Ejecutivo'!$C$7, "TEMPRANA", "NORMAL"))</f>
        <v>NORMAL</v>
      </c>
    </row>
    <row r="450" spans="2:14" x14ac:dyDescent="0.25">
      <c r="B450" s="19">
        <v>446</v>
      </c>
      <c r="C450" s="19" t="s">
        <v>128</v>
      </c>
      <c r="D450" s="19" t="s">
        <v>129</v>
      </c>
      <c r="E450" s="19" t="s">
        <v>81</v>
      </c>
      <c r="F450" s="20">
        <v>5</v>
      </c>
      <c r="G450" s="20">
        <v>5</v>
      </c>
      <c r="H450" s="20">
        <f t="shared" si="18"/>
        <v>0</v>
      </c>
      <c r="I450" s="20">
        <f t="shared" si="19"/>
        <v>0</v>
      </c>
      <c r="J450" s="21">
        <f t="shared" si="20"/>
        <v>0</v>
      </c>
      <c r="K450" s="22">
        <v>28.4</v>
      </c>
      <c r="L450" s="23">
        <v>0.34200000000000003</v>
      </c>
      <c r="M450" s="21">
        <v>0.996</v>
      </c>
      <c r="N450" s="19" t="str">
        <f>IF(G450&gt;='Resumen Ejecutivo'!$C$8, "CRÍTICA", IF(G450&gt;='Resumen Ejecutivo'!$C$7, "TEMPRANA", "NORMAL"))</f>
        <v>NORMAL</v>
      </c>
    </row>
    <row r="451" spans="2:14" x14ac:dyDescent="0.25">
      <c r="B451" s="14">
        <v>447</v>
      </c>
      <c r="C451" s="14" t="s">
        <v>128</v>
      </c>
      <c r="D451" s="14" t="s">
        <v>129</v>
      </c>
      <c r="E451" s="14" t="s">
        <v>82</v>
      </c>
      <c r="F451" s="15">
        <v>4</v>
      </c>
      <c r="G451" s="15">
        <v>4</v>
      </c>
      <c r="H451" s="15">
        <f t="shared" si="18"/>
        <v>0</v>
      </c>
      <c r="I451" s="15">
        <f t="shared" si="19"/>
        <v>0</v>
      </c>
      <c r="J451" s="16">
        <f t="shared" si="20"/>
        <v>0</v>
      </c>
      <c r="K451" s="17">
        <v>27.7</v>
      </c>
      <c r="L451" s="18">
        <v>0.35899999999999999</v>
      </c>
      <c r="M451" s="16">
        <v>0.98899999999999999</v>
      </c>
      <c r="N451" s="14" t="str">
        <f>IF(G451&gt;='Resumen Ejecutivo'!$C$8, "CRÍTICA", IF(G451&gt;='Resumen Ejecutivo'!$C$7, "TEMPRANA", "NORMAL"))</f>
        <v>NORMAL</v>
      </c>
    </row>
    <row r="452" spans="2:14" x14ac:dyDescent="0.25">
      <c r="B452" s="19">
        <v>448</v>
      </c>
      <c r="C452" s="19" t="s">
        <v>128</v>
      </c>
      <c r="D452" s="19" t="s">
        <v>129</v>
      </c>
      <c r="E452" s="19" t="s">
        <v>83</v>
      </c>
      <c r="F452" s="20">
        <v>3</v>
      </c>
      <c r="G452" s="20">
        <v>3</v>
      </c>
      <c r="H452" s="20">
        <f t="shared" si="18"/>
        <v>0</v>
      </c>
      <c r="I452" s="20">
        <f t="shared" si="19"/>
        <v>0</v>
      </c>
      <c r="J452" s="21">
        <f t="shared" si="20"/>
        <v>0</v>
      </c>
      <c r="K452" s="22">
        <v>28.1</v>
      </c>
      <c r="L452" s="23">
        <v>0.34200000000000003</v>
      </c>
      <c r="M452" s="21">
        <v>0.99399999999999999</v>
      </c>
      <c r="N452" s="19" t="str">
        <f>IF(G452&gt;='Resumen Ejecutivo'!$C$8, "CRÍTICA", IF(G452&gt;='Resumen Ejecutivo'!$C$7, "TEMPRANA", "NORMAL"))</f>
        <v>NORMAL</v>
      </c>
    </row>
    <row r="453" spans="2:14" x14ac:dyDescent="0.25">
      <c r="B453" s="14">
        <v>449</v>
      </c>
      <c r="C453" s="14" t="s">
        <v>128</v>
      </c>
      <c r="D453" s="14" t="s">
        <v>129</v>
      </c>
      <c r="E453" s="14" t="s">
        <v>84</v>
      </c>
      <c r="F453" s="15">
        <v>3</v>
      </c>
      <c r="G453" s="15">
        <v>3</v>
      </c>
      <c r="H453" s="15">
        <f t="shared" ref="H453:H516" si="21">ABS(G453-F453)</f>
        <v>0</v>
      </c>
      <c r="I453" s="15">
        <f t="shared" ref="I453:I516" si="22">(G453-F453)^2</f>
        <v>0</v>
      </c>
      <c r="J453" s="16">
        <f t="shared" ref="J453:J516" si="23">IFERROR(H453/F453,0)</f>
        <v>0</v>
      </c>
      <c r="K453" s="17">
        <v>28.4</v>
      </c>
      <c r="L453" s="18">
        <v>0.35599999999999998</v>
      </c>
      <c r="M453" s="16">
        <v>0.97099999999999997</v>
      </c>
      <c r="N453" s="14" t="str">
        <f>IF(G453&gt;='Resumen Ejecutivo'!$C$8, "CRÍTICA", IF(G453&gt;='Resumen Ejecutivo'!$C$7, "TEMPRANA", "NORMAL"))</f>
        <v>NORMAL</v>
      </c>
    </row>
    <row r="454" spans="2:14" x14ac:dyDescent="0.25">
      <c r="B454" s="19">
        <v>450</v>
      </c>
      <c r="C454" s="19" t="s">
        <v>128</v>
      </c>
      <c r="D454" s="19" t="s">
        <v>129</v>
      </c>
      <c r="E454" s="19" t="s">
        <v>85</v>
      </c>
      <c r="F454" s="20">
        <v>3</v>
      </c>
      <c r="G454" s="20">
        <v>3</v>
      </c>
      <c r="H454" s="20">
        <f t="shared" si="21"/>
        <v>0</v>
      </c>
      <c r="I454" s="20">
        <f t="shared" si="22"/>
        <v>0</v>
      </c>
      <c r="J454" s="21">
        <f t="shared" si="23"/>
        <v>0</v>
      </c>
      <c r="K454" s="22">
        <v>27.2</v>
      </c>
      <c r="L454" s="23">
        <v>0.35799999999999998</v>
      </c>
      <c r="M454" s="21">
        <v>0.98</v>
      </c>
      <c r="N454" s="19" t="str">
        <f>IF(G454&gt;='Resumen Ejecutivo'!$C$8, "CRÍTICA", IF(G454&gt;='Resumen Ejecutivo'!$C$7, "TEMPRANA", "NORMAL"))</f>
        <v>NORMAL</v>
      </c>
    </row>
    <row r="455" spans="2:14" x14ac:dyDescent="0.25">
      <c r="B455" s="14">
        <v>451</v>
      </c>
      <c r="C455" s="14" t="s">
        <v>128</v>
      </c>
      <c r="D455" s="14" t="s">
        <v>129</v>
      </c>
      <c r="E455" s="14" t="s">
        <v>86</v>
      </c>
      <c r="F455" s="15">
        <v>5</v>
      </c>
      <c r="G455" s="15">
        <v>5</v>
      </c>
      <c r="H455" s="15">
        <f t="shared" si="21"/>
        <v>0</v>
      </c>
      <c r="I455" s="15">
        <f t="shared" si="22"/>
        <v>0</v>
      </c>
      <c r="J455" s="16">
        <f t="shared" si="23"/>
        <v>0</v>
      </c>
      <c r="K455" s="17">
        <v>28</v>
      </c>
      <c r="L455" s="18">
        <v>0.33900000000000002</v>
      </c>
      <c r="M455" s="16">
        <v>0.98399999999999999</v>
      </c>
      <c r="N455" s="14" t="str">
        <f>IF(G455&gt;='Resumen Ejecutivo'!$C$8, "CRÍTICA", IF(G455&gt;='Resumen Ejecutivo'!$C$7, "TEMPRANA", "NORMAL"))</f>
        <v>NORMAL</v>
      </c>
    </row>
    <row r="456" spans="2:14" x14ac:dyDescent="0.25">
      <c r="B456" s="19">
        <v>452</v>
      </c>
      <c r="C456" s="19" t="s">
        <v>128</v>
      </c>
      <c r="D456" s="19" t="s">
        <v>129</v>
      </c>
      <c r="E456" s="19" t="s">
        <v>87</v>
      </c>
      <c r="F456" s="20">
        <v>5</v>
      </c>
      <c r="G456" s="20">
        <v>5</v>
      </c>
      <c r="H456" s="20">
        <f t="shared" si="21"/>
        <v>0</v>
      </c>
      <c r="I456" s="20">
        <f t="shared" si="22"/>
        <v>0</v>
      </c>
      <c r="J456" s="21">
        <f t="shared" si="23"/>
        <v>0</v>
      </c>
      <c r="K456" s="22">
        <v>27.7</v>
      </c>
      <c r="L456" s="23">
        <v>0.33200000000000002</v>
      </c>
      <c r="M456" s="21">
        <v>0.96699999999999997</v>
      </c>
      <c r="N456" s="19" t="str">
        <f>IF(G456&gt;='Resumen Ejecutivo'!$C$8, "CRÍTICA", IF(G456&gt;='Resumen Ejecutivo'!$C$7, "TEMPRANA", "NORMAL"))</f>
        <v>NORMAL</v>
      </c>
    </row>
    <row r="457" spans="2:14" x14ac:dyDescent="0.25">
      <c r="B457" s="14">
        <v>453</v>
      </c>
      <c r="C457" s="14" t="s">
        <v>128</v>
      </c>
      <c r="D457" s="14" t="s">
        <v>129</v>
      </c>
      <c r="E457" s="14" t="s">
        <v>88</v>
      </c>
      <c r="F457" s="15">
        <v>6</v>
      </c>
      <c r="G457" s="15">
        <v>6</v>
      </c>
      <c r="H457" s="15">
        <f t="shared" si="21"/>
        <v>0</v>
      </c>
      <c r="I457" s="15">
        <f t="shared" si="22"/>
        <v>0</v>
      </c>
      <c r="J457" s="16">
        <f t="shared" si="23"/>
        <v>0</v>
      </c>
      <c r="K457" s="17">
        <v>27.8</v>
      </c>
      <c r="L457" s="18">
        <v>0.34899999999999998</v>
      </c>
      <c r="M457" s="16">
        <v>0.97599999999999998</v>
      </c>
      <c r="N457" s="14" t="str">
        <f>IF(G457&gt;='Resumen Ejecutivo'!$C$8, "CRÍTICA", IF(G457&gt;='Resumen Ejecutivo'!$C$7, "TEMPRANA", "NORMAL"))</f>
        <v>NORMAL</v>
      </c>
    </row>
    <row r="458" spans="2:14" x14ac:dyDescent="0.25">
      <c r="B458" s="19">
        <v>454</v>
      </c>
      <c r="C458" s="19" t="s">
        <v>128</v>
      </c>
      <c r="D458" s="19" t="s">
        <v>129</v>
      </c>
      <c r="E458" s="19" t="s">
        <v>89</v>
      </c>
      <c r="F458" s="20">
        <v>7</v>
      </c>
      <c r="G458" s="20">
        <v>7</v>
      </c>
      <c r="H458" s="20">
        <f t="shared" si="21"/>
        <v>0</v>
      </c>
      <c r="I458" s="20">
        <f t="shared" si="22"/>
        <v>0</v>
      </c>
      <c r="J458" s="21">
        <f t="shared" si="23"/>
        <v>0</v>
      </c>
      <c r="K458" s="22">
        <v>27.9</v>
      </c>
      <c r="L458" s="23">
        <v>0.35</v>
      </c>
      <c r="M458" s="21">
        <v>0.96499999999999997</v>
      </c>
      <c r="N458" s="19" t="str">
        <f>IF(G458&gt;='Resumen Ejecutivo'!$C$8, "CRÍTICA", IF(G458&gt;='Resumen Ejecutivo'!$C$7, "TEMPRANA", "NORMAL"))</f>
        <v>NORMAL</v>
      </c>
    </row>
    <row r="459" spans="2:14" x14ac:dyDescent="0.25">
      <c r="B459" s="14">
        <v>455</v>
      </c>
      <c r="C459" s="14" t="s">
        <v>128</v>
      </c>
      <c r="D459" s="14" t="s">
        <v>129</v>
      </c>
      <c r="E459" s="14" t="s">
        <v>90</v>
      </c>
      <c r="F459" s="15">
        <v>10</v>
      </c>
      <c r="G459" s="15">
        <v>10</v>
      </c>
      <c r="H459" s="15">
        <f t="shared" si="21"/>
        <v>0</v>
      </c>
      <c r="I459" s="15">
        <f t="shared" si="22"/>
        <v>0</v>
      </c>
      <c r="J459" s="16">
        <f t="shared" si="23"/>
        <v>0</v>
      </c>
      <c r="K459" s="17">
        <v>27.1</v>
      </c>
      <c r="L459" s="18">
        <v>0.35699999999999998</v>
      </c>
      <c r="M459" s="16">
        <v>0.96199999999999997</v>
      </c>
      <c r="N459" s="14" t="str">
        <f>IF(G459&gt;='Resumen Ejecutivo'!$C$8, "CRÍTICA", IF(G459&gt;='Resumen Ejecutivo'!$C$7, "TEMPRANA", "NORMAL"))</f>
        <v>NORMAL</v>
      </c>
    </row>
    <row r="460" spans="2:14" x14ac:dyDescent="0.25">
      <c r="B460" s="19">
        <v>456</v>
      </c>
      <c r="C460" s="19" t="s">
        <v>128</v>
      </c>
      <c r="D460" s="19" t="s">
        <v>129</v>
      </c>
      <c r="E460" s="19" t="s">
        <v>91</v>
      </c>
      <c r="F460" s="20">
        <v>7</v>
      </c>
      <c r="G460" s="20">
        <v>7</v>
      </c>
      <c r="H460" s="20">
        <f t="shared" si="21"/>
        <v>0</v>
      </c>
      <c r="I460" s="20">
        <f t="shared" si="22"/>
        <v>0</v>
      </c>
      <c r="J460" s="21">
        <f t="shared" si="23"/>
        <v>0</v>
      </c>
      <c r="K460" s="22">
        <v>27.2</v>
      </c>
      <c r="L460" s="23">
        <v>0.373</v>
      </c>
      <c r="M460" s="21">
        <v>0.95699999999999996</v>
      </c>
      <c r="N460" s="19" t="str">
        <f>IF(G460&gt;='Resumen Ejecutivo'!$C$8, "CRÍTICA", IF(G460&gt;='Resumen Ejecutivo'!$C$7, "TEMPRANA", "NORMAL"))</f>
        <v>NORMAL</v>
      </c>
    </row>
    <row r="461" spans="2:14" x14ac:dyDescent="0.25">
      <c r="B461" s="14">
        <v>457</v>
      </c>
      <c r="C461" s="14" t="s">
        <v>128</v>
      </c>
      <c r="D461" s="14" t="s">
        <v>129</v>
      </c>
      <c r="E461" s="14" t="s">
        <v>92</v>
      </c>
      <c r="F461" s="15">
        <v>6</v>
      </c>
      <c r="G461" s="15">
        <v>6</v>
      </c>
      <c r="H461" s="15">
        <f t="shared" si="21"/>
        <v>0</v>
      </c>
      <c r="I461" s="15">
        <f t="shared" si="22"/>
        <v>0</v>
      </c>
      <c r="J461" s="16">
        <f t="shared" si="23"/>
        <v>0</v>
      </c>
      <c r="K461" s="17">
        <v>27.5</v>
      </c>
      <c r="L461" s="18">
        <v>0.33300000000000002</v>
      </c>
      <c r="M461" s="16">
        <v>0.97099999999999997</v>
      </c>
      <c r="N461" s="14" t="str">
        <f>IF(G461&gt;='Resumen Ejecutivo'!$C$8, "CRÍTICA", IF(G461&gt;='Resumen Ejecutivo'!$C$7, "TEMPRANA", "NORMAL"))</f>
        <v>NORMAL</v>
      </c>
    </row>
    <row r="462" spans="2:14" x14ac:dyDescent="0.25">
      <c r="B462" s="19">
        <v>458</v>
      </c>
      <c r="C462" s="19" t="s">
        <v>128</v>
      </c>
      <c r="D462" s="19" t="s">
        <v>129</v>
      </c>
      <c r="E462" s="19" t="s">
        <v>93</v>
      </c>
      <c r="F462" s="20">
        <v>8</v>
      </c>
      <c r="G462" s="20">
        <v>8</v>
      </c>
      <c r="H462" s="20">
        <f t="shared" si="21"/>
        <v>0</v>
      </c>
      <c r="I462" s="20">
        <f t="shared" si="22"/>
        <v>0</v>
      </c>
      <c r="J462" s="21">
        <f t="shared" si="23"/>
        <v>0</v>
      </c>
      <c r="K462" s="22">
        <v>27.5</v>
      </c>
      <c r="L462" s="23">
        <v>0.35599999999999998</v>
      </c>
      <c r="M462" s="21">
        <v>0.96899999999999997</v>
      </c>
      <c r="N462" s="19" t="str">
        <f>IF(G462&gt;='Resumen Ejecutivo'!$C$8, "CRÍTICA", IF(G462&gt;='Resumen Ejecutivo'!$C$7, "TEMPRANA", "NORMAL"))</f>
        <v>NORMAL</v>
      </c>
    </row>
    <row r="463" spans="2:14" x14ac:dyDescent="0.25">
      <c r="B463" s="14">
        <v>459</v>
      </c>
      <c r="C463" s="14" t="s">
        <v>128</v>
      </c>
      <c r="D463" s="14" t="s">
        <v>129</v>
      </c>
      <c r="E463" s="14" t="s">
        <v>94</v>
      </c>
      <c r="F463" s="15">
        <v>6</v>
      </c>
      <c r="G463" s="15">
        <v>6</v>
      </c>
      <c r="H463" s="15">
        <f t="shared" si="21"/>
        <v>0</v>
      </c>
      <c r="I463" s="15">
        <f t="shared" si="22"/>
        <v>0</v>
      </c>
      <c r="J463" s="16">
        <f t="shared" si="23"/>
        <v>0</v>
      </c>
      <c r="K463" s="17">
        <v>27.2</v>
      </c>
      <c r="L463" s="18">
        <v>0.34699999999999998</v>
      </c>
      <c r="M463" s="16">
        <v>0.95399999999999996</v>
      </c>
      <c r="N463" s="14" t="str">
        <f>IF(G463&gt;='Resumen Ejecutivo'!$C$8, "CRÍTICA", IF(G463&gt;='Resumen Ejecutivo'!$C$7, "TEMPRANA", "NORMAL"))</f>
        <v>NORMAL</v>
      </c>
    </row>
    <row r="464" spans="2:14" x14ac:dyDescent="0.25">
      <c r="B464" s="19">
        <v>460</v>
      </c>
      <c r="C464" s="19" t="s">
        <v>128</v>
      </c>
      <c r="D464" s="19" t="s">
        <v>129</v>
      </c>
      <c r="E464" s="19" t="s">
        <v>95</v>
      </c>
      <c r="F464" s="20">
        <v>7</v>
      </c>
      <c r="G464" s="20">
        <v>7</v>
      </c>
      <c r="H464" s="20">
        <f t="shared" si="21"/>
        <v>0</v>
      </c>
      <c r="I464" s="20">
        <f t="shared" si="22"/>
        <v>0</v>
      </c>
      <c r="J464" s="21">
        <f t="shared" si="23"/>
        <v>0</v>
      </c>
      <c r="K464" s="22">
        <v>27.5</v>
      </c>
      <c r="L464" s="23">
        <v>0.34899999999999998</v>
      </c>
      <c r="M464" s="21">
        <v>0.97699999999999998</v>
      </c>
      <c r="N464" s="19" t="str">
        <f>IF(G464&gt;='Resumen Ejecutivo'!$C$8, "CRÍTICA", IF(G464&gt;='Resumen Ejecutivo'!$C$7, "TEMPRANA", "NORMAL"))</f>
        <v>NORMAL</v>
      </c>
    </row>
    <row r="465" spans="2:14" x14ac:dyDescent="0.25">
      <c r="B465" s="14">
        <v>461</v>
      </c>
      <c r="C465" s="14" t="s">
        <v>128</v>
      </c>
      <c r="D465" s="14" t="s">
        <v>129</v>
      </c>
      <c r="E465" s="14" t="s">
        <v>96</v>
      </c>
      <c r="F465" s="15">
        <v>7</v>
      </c>
      <c r="G465" s="15">
        <v>8</v>
      </c>
      <c r="H465" s="15">
        <f t="shared" si="21"/>
        <v>1</v>
      </c>
      <c r="I465" s="15">
        <f t="shared" si="22"/>
        <v>1</v>
      </c>
      <c r="J465" s="16">
        <f t="shared" si="23"/>
        <v>0.14285714285714285</v>
      </c>
      <c r="K465" s="17">
        <v>28.1</v>
      </c>
      <c r="L465" s="18">
        <v>0.33300000000000002</v>
      </c>
      <c r="M465" s="16">
        <v>0.96899999999999997</v>
      </c>
      <c r="N465" s="14" t="str">
        <f>IF(G465&gt;='Resumen Ejecutivo'!$C$8, "CRÍTICA", IF(G465&gt;='Resumen Ejecutivo'!$C$7, "TEMPRANA", "NORMAL"))</f>
        <v>NORMAL</v>
      </c>
    </row>
    <row r="466" spans="2:14" x14ac:dyDescent="0.25">
      <c r="B466" s="19">
        <v>462</v>
      </c>
      <c r="C466" s="19" t="s">
        <v>128</v>
      </c>
      <c r="D466" s="19" t="s">
        <v>129</v>
      </c>
      <c r="E466" s="19" t="s">
        <v>97</v>
      </c>
      <c r="F466" s="20">
        <v>9</v>
      </c>
      <c r="G466" s="20">
        <v>9</v>
      </c>
      <c r="H466" s="20">
        <f t="shared" si="21"/>
        <v>0</v>
      </c>
      <c r="I466" s="20">
        <f t="shared" si="22"/>
        <v>0</v>
      </c>
      <c r="J466" s="21">
        <f t="shared" si="23"/>
        <v>0</v>
      </c>
      <c r="K466" s="22">
        <v>27.8</v>
      </c>
      <c r="L466" s="23">
        <v>0.33200000000000002</v>
      </c>
      <c r="M466" s="21">
        <v>0.95399999999999996</v>
      </c>
      <c r="N466" s="19" t="str">
        <f>IF(G466&gt;='Resumen Ejecutivo'!$C$8, "CRÍTICA", IF(G466&gt;='Resumen Ejecutivo'!$C$7, "TEMPRANA", "NORMAL"))</f>
        <v>NORMAL</v>
      </c>
    </row>
    <row r="467" spans="2:14" x14ac:dyDescent="0.25">
      <c r="B467" s="14">
        <v>463</v>
      </c>
      <c r="C467" s="14" t="s">
        <v>128</v>
      </c>
      <c r="D467" s="14" t="s">
        <v>129</v>
      </c>
      <c r="E467" s="14" t="s">
        <v>98</v>
      </c>
      <c r="F467" s="15">
        <v>7</v>
      </c>
      <c r="G467" s="15">
        <v>7</v>
      </c>
      <c r="H467" s="15">
        <f t="shared" si="21"/>
        <v>0</v>
      </c>
      <c r="I467" s="15">
        <f t="shared" si="22"/>
        <v>0</v>
      </c>
      <c r="J467" s="16">
        <f t="shared" si="23"/>
        <v>0</v>
      </c>
      <c r="K467" s="17">
        <v>28.1</v>
      </c>
      <c r="L467" s="18">
        <v>0.35899999999999999</v>
      </c>
      <c r="M467" s="16">
        <v>0.98399999999999999</v>
      </c>
      <c r="N467" s="14" t="str">
        <f>IF(G467&gt;='Resumen Ejecutivo'!$C$8, "CRÍTICA", IF(G467&gt;='Resumen Ejecutivo'!$C$7, "TEMPRANA", "NORMAL"))</f>
        <v>NORMAL</v>
      </c>
    </row>
    <row r="468" spans="2:14" x14ac:dyDescent="0.25">
      <c r="B468" s="19">
        <v>464</v>
      </c>
      <c r="C468" s="19" t="s">
        <v>128</v>
      </c>
      <c r="D468" s="19" t="s">
        <v>129</v>
      </c>
      <c r="E468" s="19" t="s">
        <v>99</v>
      </c>
      <c r="F468" s="20">
        <v>3</v>
      </c>
      <c r="G468" s="20">
        <v>4</v>
      </c>
      <c r="H468" s="20">
        <f t="shared" si="21"/>
        <v>1</v>
      </c>
      <c r="I468" s="20">
        <f t="shared" si="22"/>
        <v>1</v>
      </c>
      <c r="J468" s="21">
        <f t="shared" si="23"/>
        <v>0.33333333333333331</v>
      </c>
      <c r="K468" s="22">
        <v>27.1</v>
      </c>
      <c r="L468" s="23">
        <v>0.34</v>
      </c>
      <c r="M468" s="21">
        <v>0.995</v>
      </c>
      <c r="N468" s="19" t="str">
        <f>IF(G468&gt;='Resumen Ejecutivo'!$C$8, "CRÍTICA", IF(G468&gt;='Resumen Ejecutivo'!$C$7, "TEMPRANA", "NORMAL"))</f>
        <v>NORMAL</v>
      </c>
    </row>
    <row r="469" spans="2:14" x14ac:dyDescent="0.25">
      <c r="B469" s="14">
        <v>465</v>
      </c>
      <c r="C469" s="14" t="s">
        <v>128</v>
      </c>
      <c r="D469" s="14" t="s">
        <v>129</v>
      </c>
      <c r="E469" s="14" t="s">
        <v>100</v>
      </c>
      <c r="F469" s="15">
        <v>8</v>
      </c>
      <c r="G469" s="15">
        <v>8</v>
      </c>
      <c r="H469" s="15">
        <f t="shared" si="21"/>
        <v>0</v>
      </c>
      <c r="I469" s="15">
        <f t="shared" si="22"/>
        <v>0</v>
      </c>
      <c r="J469" s="16">
        <f t="shared" si="23"/>
        <v>0</v>
      </c>
      <c r="K469" s="17">
        <v>27.3</v>
      </c>
      <c r="L469" s="18">
        <v>0.375</v>
      </c>
      <c r="M469" s="16">
        <v>0.96099999999999997</v>
      </c>
      <c r="N469" s="14" t="str">
        <f>IF(G469&gt;='Resumen Ejecutivo'!$C$8, "CRÍTICA", IF(G469&gt;='Resumen Ejecutivo'!$C$7, "TEMPRANA", "NORMAL"))</f>
        <v>NORMAL</v>
      </c>
    </row>
    <row r="470" spans="2:14" x14ac:dyDescent="0.25">
      <c r="B470" s="19">
        <v>466</v>
      </c>
      <c r="C470" s="19" t="s">
        <v>128</v>
      </c>
      <c r="D470" s="19" t="s">
        <v>129</v>
      </c>
      <c r="E470" s="19" t="s">
        <v>101</v>
      </c>
      <c r="F470" s="20">
        <v>1</v>
      </c>
      <c r="G470" s="20">
        <v>1</v>
      </c>
      <c r="H470" s="20">
        <f t="shared" si="21"/>
        <v>0</v>
      </c>
      <c r="I470" s="20">
        <f t="shared" si="22"/>
        <v>0</v>
      </c>
      <c r="J470" s="21">
        <f t="shared" si="23"/>
        <v>0</v>
      </c>
      <c r="K470" s="22">
        <v>27.1</v>
      </c>
      <c r="L470" s="23">
        <v>0.36699999999999999</v>
      </c>
      <c r="M470" s="21">
        <v>0.98699999999999999</v>
      </c>
      <c r="N470" s="19" t="str">
        <f>IF(G470&gt;='Resumen Ejecutivo'!$C$8, "CRÍTICA", IF(G470&gt;='Resumen Ejecutivo'!$C$7, "TEMPRANA", "NORMAL"))</f>
        <v>NORMAL</v>
      </c>
    </row>
    <row r="471" spans="2:14" x14ac:dyDescent="0.25">
      <c r="B471" s="14">
        <v>467</v>
      </c>
      <c r="C471" s="14" t="s">
        <v>128</v>
      </c>
      <c r="D471" s="14" t="s">
        <v>129</v>
      </c>
      <c r="E471" s="14" t="s">
        <v>102</v>
      </c>
      <c r="F471" s="15">
        <v>4</v>
      </c>
      <c r="G471" s="15">
        <v>4</v>
      </c>
      <c r="H471" s="15">
        <f t="shared" si="21"/>
        <v>0</v>
      </c>
      <c r="I471" s="15">
        <f t="shared" si="22"/>
        <v>0</v>
      </c>
      <c r="J471" s="16">
        <f t="shared" si="23"/>
        <v>0</v>
      </c>
      <c r="K471" s="17">
        <v>28</v>
      </c>
      <c r="L471" s="18">
        <v>0.376</v>
      </c>
      <c r="M471" s="16">
        <v>0.98499999999999999</v>
      </c>
      <c r="N471" s="14" t="str">
        <f>IF(G471&gt;='Resumen Ejecutivo'!$C$8, "CRÍTICA", IF(G471&gt;='Resumen Ejecutivo'!$C$7, "TEMPRANA", "NORMAL"))</f>
        <v>NORMAL</v>
      </c>
    </row>
    <row r="472" spans="2:14" x14ac:dyDescent="0.25">
      <c r="B472" s="19">
        <v>468</v>
      </c>
      <c r="C472" s="19" t="s">
        <v>128</v>
      </c>
      <c r="D472" s="19" t="s">
        <v>129</v>
      </c>
      <c r="E472" s="19" t="s">
        <v>103</v>
      </c>
      <c r="F472" s="20">
        <v>2</v>
      </c>
      <c r="G472" s="20">
        <v>2</v>
      </c>
      <c r="H472" s="20">
        <f t="shared" si="21"/>
        <v>0</v>
      </c>
      <c r="I472" s="20">
        <f t="shared" si="22"/>
        <v>0</v>
      </c>
      <c r="J472" s="21">
        <f t="shared" si="23"/>
        <v>0</v>
      </c>
      <c r="K472" s="22">
        <v>27.9</v>
      </c>
      <c r="L472" s="23">
        <v>0.35</v>
      </c>
      <c r="M472" s="21">
        <v>0.96199999999999997</v>
      </c>
      <c r="N472" s="19" t="str">
        <f>IF(G472&gt;='Resumen Ejecutivo'!$C$8, "CRÍTICA", IF(G472&gt;='Resumen Ejecutivo'!$C$7, "TEMPRANA", "NORMAL"))</f>
        <v>NORMAL</v>
      </c>
    </row>
    <row r="473" spans="2:14" x14ac:dyDescent="0.25">
      <c r="B473" s="14">
        <v>469</v>
      </c>
      <c r="C473" s="14" t="s">
        <v>128</v>
      </c>
      <c r="D473" s="14" t="s">
        <v>129</v>
      </c>
      <c r="E473" s="14" t="s">
        <v>104</v>
      </c>
      <c r="F473" s="15">
        <v>3</v>
      </c>
      <c r="G473" s="15">
        <v>2</v>
      </c>
      <c r="H473" s="15">
        <f t="shared" si="21"/>
        <v>1</v>
      </c>
      <c r="I473" s="15">
        <f t="shared" si="22"/>
        <v>1</v>
      </c>
      <c r="J473" s="16">
        <f t="shared" si="23"/>
        <v>0.33333333333333331</v>
      </c>
      <c r="K473" s="17">
        <v>27.3</v>
      </c>
      <c r="L473" s="18">
        <v>0.34399999999999997</v>
      </c>
      <c r="M473" s="16">
        <v>0.97299999999999998</v>
      </c>
      <c r="N473" s="14" t="str">
        <f>IF(G473&gt;='Resumen Ejecutivo'!$C$8, "CRÍTICA", IF(G473&gt;='Resumen Ejecutivo'!$C$7, "TEMPRANA", "NORMAL"))</f>
        <v>NORMAL</v>
      </c>
    </row>
    <row r="474" spans="2:14" x14ac:dyDescent="0.25">
      <c r="B474" s="19">
        <v>470</v>
      </c>
      <c r="C474" s="19" t="s">
        <v>128</v>
      </c>
      <c r="D474" s="19" t="s">
        <v>129</v>
      </c>
      <c r="E474" s="19" t="s">
        <v>105</v>
      </c>
      <c r="F474" s="20">
        <v>0</v>
      </c>
      <c r="G474" s="20">
        <v>0</v>
      </c>
      <c r="H474" s="20">
        <f t="shared" si="21"/>
        <v>0</v>
      </c>
      <c r="I474" s="20">
        <f t="shared" si="22"/>
        <v>0</v>
      </c>
      <c r="J474" s="21">
        <f t="shared" si="23"/>
        <v>0</v>
      </c>
      <c r="K474" s="22">
        <v>27.8</v>
      </c>
      <c r="L474" s="23">
        <v>0.34499999999999997</v>
      </c>
      <c r="M474" s="21">
        <v>0.96799999999999997</v>
      </c>
      <c r="N474" s="19" t="str">
        <f>IF(G474&gt;='Resumen Ejecutivo'!$C$8, "CRÍTICA", IF(G474&gt;='Resumen Ejecutivo'!$C$7, "TEMPRANA", "NORMAL"))</f>
        <v>NORMAL</v>
      </c>
    </row>
    <row r="475" spans="2:14" x14ac:dyDescent="0.25">
      <c r="B475" s="14">
        <v>471</v>
      </c>
      <c r="C475" s="14" t="s">
        <v>128</v>
      </c>
      <c r="D475" s="14" t="s">
        <v>129</v>
      </c>
      <c r="E475" s="14" t="s">
        <v>106</v>
      </c>
      <c r="F475" s="15">
        <v>2</v>
      </c>
      <c r="G475" s="15">
        <v>2</v>
      </c>
      <c r="H475" s="15">
        <f t="shared" si="21"/>
        <v>0</v>
      </c>
      <c r="I475" s="15">
        <f t="shared" si="22"/>
        <v>0</v>
      </c>
      <c r="J475" s="16">
        <f t="shared" si="23"/>
        <v>0</v>
      </c>
      <c r="K475" s="17">
        <v>28.2</v>
      </c>
      <c r="L475" s="18">
        <v>0.35299999999999998</v>
      </c>
      <c r="M475" s="16">
        <v>0.99</v>
      </c>
      <c r="N475" s="14" t="str">
        <f>IF(G475&gt;='Resumen Ejecutivo'!$C$8, "CRÍTICA", IF(G475&gt;='Resumen Ejecutivo'!$C$7, "TEMPRANA", "NORMAL"))</f>
        <v>NORMAL</v>
      </c>
    </row>
    <row r="476" spans="2:14" x14ac:dyDescent="0.25">
      <c r="B476" s="19">
        <v>472</v>
      </c>
      <c r="C476" s="19" t="s">
        <v>128</v>
      </c>
      <c r="D476" s="19" t="s">
        <v>129</v>
      </c>
      <c r="E476" s="19" t="s">
        <v>107</v>
      </c>
      <c r="F476" s="20">
        <v>0</v>
      </c>
      <c r="G476" s="20">
        <v>0</v>
      </c>
      <c r="H476" s="20">
        <f t="shared" si="21"/>
        <v>0</v>
      </c>
      <c r="I476" s="20">
        <f t="shared" si="22"/>
        <v>0</v>
      </c>
      <c r="J476" s="21">
        <f t="shared" si="23"/>
        <v>0</v>
      </c>
      <c r="K476" s="22">
        <v>28</v>
      </c>
      <c r="L476" s="23">
        <v>0.36799999999999999</v>
      </c>
      <c r="M476" s="21">
        <v>0.96599999999999997</v>
      </c>
      <c r="N476" s="19" t="str">
        <f>IF(G476&gt;='Resumen Ejecutivo'!$C$8, "CRÍTICA", IF(G476&gt;='Resumen Ejecutivo'!$C$7, "TEMPRANA", "NORMAL"))</f>
        <v>NORMAL</v>
      </c>
    </row>
    <row r="477" spans="2:14" x14ac:dyDescent="0.25">
      <c r="B477" s="14">
        <v>473</v>
      </c>
      <c r="C477" s="14" t="s">
        <v>128</v>
      </c>
      <c r="D477" s="14" t="s">
        <v>129</v>
      </c>
      <c r="E477" s="14" t="s">
        <v>108</v>
      </c>
      <c r="F477" s="15">
        <v>2</v>
      </c>
      <c r="G477" s="15">
        <v>2</v>
      </c>
      <c r="H477" s="15">
        <f t="shared" si="21"/>
        <v>0</v>
      </c>
      <c r="I477" s="15">
        <f t="shared" si="22"/>
        <v>0</v>
      </c>
      <c r="J477" s="16">
        <f t="shared" si="23"/>
        <v>0</v>
      </c>
      <c r="K477" s="17">
        <v>27.1</v>
      </c>
      <c r="L477" s="18">
        <v>0.34599999999999997</v>
      </c>
      <c r="M477" s="16">
        <v>0.95199999999999996</v>
      </c>
      <c r="N477" s="14" t="str">
        <f>IF(G477&gt;='Resumen Ejecutivo'!$C$8, "CRÍTICA", IF(G477&gt;='Resumen Ejecutivo'!$C$7, "TEMPRANA", "NORMAL"))</f>
        <v>NORMAL</v>
      </c>
    </row>
    <row r="478" spans="2:14" x14ac:dyDescent="0.25">
      <c r="B478" s="19">
        <v>474</v>
      </c>
      <c r="C478" s="19" t="s">
        <v>128</v>
      </c>
      <c r="D478" s="19" t="s">
        <v>129</v>
      </c>
      <c r="E478" s="19" t="s">
        <v>109</v>
      </c>
      <c r="F478" s="20">
        <v>6</v>
      </c>
      <c r="G478" s="20">
        <v>6</v>
      </c>
      <c r="H478" s="20">
        <f t="shared" si="21"/>
        <v>0</v>
      </c>
      <c r="I478" s="20">
        <f t="shared" si="22"/>
        <v>0</v>
      </c>
      <c r="J478" s="21">
        <f t="shared" si="23"/>
        <v>0</v>
      </c>
      <c r="K478" s="22">
        <v>28.2</v>
      </c>
      <c r="L478" s="23">
        <v>0.36699999999999999</v>
      </c>
      <c r="M478" s="21">
        <v>0.95099999999999996</v>
      </c>
      <c r="N478" s="19" t="str">
        <f>IF(G478&gt;='Resumen Ejecutivo'!$C$8, "CRÍTICA", IF(G478&gt;='Resumen Ejecutivo'!$C$7, "TEMPRANA", "NORMAL"))</f>
        <v>NORMAL</v>
      </c>
    </row>
    <row r="479" spans="2:14" x14ac:dyDescent="0.25">
      <c r="B479" s="14">
        <v>475</v>
      </c>
      <c r="C479" s="14" t="s">
        <v>128</v>
      </c>
      <c r="D479" s="14" t="s">
        <v>129</v>
      </c>
      <c r="E479" s="14" t="s">
        <v>110</v>
      </c>
      <c r="F479" s="15">
        <v>3</v>
      </c>
      <c r="G479" s="15">
        <v>3</v>
      </c>
      <c r="H479" s="15">
        <f t="shared" si="21"/>
        <v>0</v>
      </c>
      <c r="I479" s="15">
        <f t="shared" si="22"/>
        <v>0</v>
      </c>
      <c r="J479" s="16">
        <f t="shared" si="23"/>
        <v>0</v>
      </c>
      <c r="K479" s="17">
        <v>27.7</v>
      </c>
      <c r="L479" s="18">
        <v>0.35899999999999999</v>
      </c>
      <c r="M479" s="16">
        <v>0.98599999999999999</v>
      </c>
      <c r="N479" s="14" t="str">
        <f>IF(G479&gt;='Resumen Ejecutivo'!$C$8, "CRÍTICA", IF(G479&gt;='Resumen Ejecutivo'!$C$7, "TEMPRANA", "NORMAL"))</f>
        <v>NORMAL</v>
      </c>
    </row>
    <row r="480" spans="2:14" x14ac:dyDescent="0.25">
      <c r="B480" s="19">
        <v>476</v>
      </c>
      <c r="C480" s="19" t="s">
        <v>128</v>
      </c>
      <c r="D480" s="19" t="s">
        <v>129</v>
      </c>
      <c r="E480" s="19" t="s">
        <v>111</v>
      </c>
      <c r="F480" s="20">
        <v>1</v>
      </c>
      <c r="G480" s="20">
        <v>0</v>
      </c>
      <c r="H480" s="20">
        <f t="shared" si="21"/>
        <v>1</v>
      </c>
      <c r="I480" s="20">
        <f t="shared" si="22"/>
        <v>1</v>
      </c>
      <c r="J480" s="21">
        <f t="shared" si="23"/>
        <v>1</v>
      </c>
      <c r="K480" s="22">
        <v>27.3</v>
      </c>
      <c r="L480" s="23">
        <v>0.34</v>
      </c>
      <c r="M480" s="21">
        <v>0.96199999999999997</v>
      </c>
      <c r="N480" s="19" t="str">
        <f>IF(G480&gt;='Resumen Ejecutivo'!$C$8, "CRÍTICA", IF(G480&gt;='Resumen Ejecutivo'!$C$7, "TEMPRANA", "NORMAL"))</f>
        <v>NORMAL</v>
      </c>
    </row>
    <row r="481" spans="2:14" x14ac:dyDescent="0.25">
      <c r="B481" s="14">
        <v>477</v>
      </c>
      <c r="C481" s="14" t="s">
        <v>128</v>
      </c>
      <c r="D481" s="14" t="s">
        <v>129</v>
      </c>
      <c r="E481" s="14" t="s">
        <v>112</v>
      </c>
      <c r="F481" s="15">
        <v>1</v>
      </c>
      <c r="G481" s="15">
        <v>1</v>
      </c>
      <c r="H481" s="15">
        <f t="shared" si="21"/>
        <v>0</v>
      </c>
      <c r="I481" s="15">
        <f t="shared" si="22"/>
        <v>0</v>
      </c>
      <c r="J481" s="16">
        <f t="shared" si="23"/>
        <v>0</v>
      </c>
      <c r="K481" s="17">
        <v>27.7</v>
      </c>
      <c r="L481" s="18">
        <v>0.34200000000000003</v>
      </c>
      <c r="M481" s="16">
        <v>0.97799999999999998</v>
      </c>
      <c r="N481" s="14" t="str">
        <f>IF(G481&gt;='Resumen Ejecutivo'!$C$8, "CRÍTICA", IF(G481&gt;='Resumen Ejecutivo'!$C$7, "TEMPRANA", "NORMAL"))</f>
        <v>NORMAL</v>
      </c>
    </row>
    <row r="482" spans="2:14" x14ac:dyDescent="0.25">
      <c r="B482" s="19">
        <v>478</v>
      </c>
      <c r="C482" s="19" t="s">
        <v>128</v>
      </c>
      <c r="D482" s="19" t="s">
        <v>129</v>
      </c>
      <c r="E482" s="19" t="s">
        <v>113</v>
      </c>
      <c r="F482" s="20">
        <v>3</v>
      </c>
      <c r="G482" s="20">
        <v>3</v>
      </c>
      <c r="H482" s="20">
        <f t="shared" si="21"/>
        <v>0</v>
      </c>
      <c r="I482" s="20">
        <f t="shared" si="22"/>
        <v>0</v>
      </c>
      <c r="J482" s="21">
        <f t="shared" si="23"/>
        <v>0</v>
      </c>
      <c r="K482" s="22">
        <v>28.3</v>
      </c>
      <c r="L482" s="23">
        <v>0.34699999999999998</v>
      </c>
      <c r="M482" s="21">
        <v>0.98799999999999999</v>
      </c>
      <c r="N482" s="19" t="str">
        <f>IF(G482&gt;='Resumen Ejecutivo'!$C$8, "CRÍTICA", IF(G482&gt;='Resumen Ejecutivo'!$C$7, "TEMPRANA", "NORMAL"))</f>
        <v>NORMAL</v>
      </c>
    </row>
    <row r="483" spans="2:14" x14ac:dyDescent="0.25">
      <c r="B483" s="14">
        <v>479</v>
      </c>
      <c r="C483" s="14" t="s">
        <v>128</v>
      </c>
      <c r="D483" s="14" t="s">
        <v>129</v>
      </c>
      <c r="E483" s="14" t="s">
        <v>114</v>
      </c>
      <c r="F483" s="15">
        <v>3</v>
      </c>
      <c r="G483" s="15">
        <v>3</v>
      </c>
      <c r="H483" s="15">
        <f t="shared" si="21"/>
        <v>0</v>
      </c>
      <c r="I483" s="15">
        <f t="shared" si="22"/>
        <v>0</v>
      </c>
      <c r="J483" s="16">
        <f t="shared" si="23"/>
        <v>0</v>
      </c>
      <c r="K483" s="17">
        <v>27.6</v>
      </c>
      <c r="L483" s="18">
        <v>0.36599999999999999</v>
      </c>
      <c r="M483" s="16">
        <v>0.98699999999999999</v>
      </c>
      <c r="N483" s="14" t="str">
        <f>IF(G483&gt;='Resumen Ejecutivo'!$C$8, "CRÍTICA", IF(G483&gt;='Resumen Ejecutivo'!$C$7, "TEMPRANA", "NORMAL"))</f>
        <v>NORMAL</v>
      </c>
    </row>
    <row r="484" spans="2:14" x14ac:dyDescent="0.25">
      <c r="B484" s="19">
        <v>480</v>
      </c>
      <c r="C484" s="19" t="s">
        <v>128</v>
      </c>
      <c r="D484" s="19" t="s">
        <v>129</v>
      </c>
      <c r="E484" s="19" t="s">
        <v>115</v>
      </c>
      <c r="F484" s="20">
        <v>2</v>
      </c>
      <c r="G484" s="20">
        <v>2</v>
      </c>
      <c r="H484" s="20">
        <f t="shared" si="21"/>
        <v>0</v>
      </c>
      <c r="I484" s="20">
        <f t="shared" si="22"/>
        <v>0</v>
      </c>
      <c r="J484" s="21">
        <f t="shared" si="23"/>
        <v>0</v>
      </c>
      <c r="K484" s="22">
        <v>27.5</v>
      </c>
      <c r="L484" s="23">
        <v>0.36699999999999999</v>
      </c>
      <c r="M484" s="21">
        <v>0.96799999999999997</v>
      </c>
      <c r="N484" s="19" t="str">
        <f>IF(G484&gt;='Resumen Ejecutivo'!$C$8, "CRÍTICA", IF(G484&gt;='Resumen Ejecutivo'!$C$7, "TEMPRANA", "NORMAL"))</f>
        <v>NORMAL</v>
      </c>
    </row>
    <row r="485" spans="2:14" x14ac:dyDescent="0.25">
      <c r="B485" s="14">
        <v>481</v>
      </c>
      <c r="C485" s="14" t="s">
        <v>130</v>
      </c>
      <c r="D485" s="14" t="s">
        <v>131</v>
      </c>
      <c r="E485" s="14" t="s">
        <v>56</v>
      </c>
      <c r="F485" s="15">
        <v>4</v>
      </c>
      <c r="G485" s="15">
        <v>4</v>
      </c>
      <c r="H485" s="15">
        <f t="shared" si="21"/>
        <v>0</v>
      </c>
      <c r="I485" s="15">
        <f t="shared" si="22"/>
        <v>0</v>
      </c>
      <c r="J485" s="16">
        <f t="shared" si="23"/>
        <v>0</v>
      </c>
      <c r="K485" s="17">
        <v>27.7</v>
      </c>
      <c r="L485" s="18">
        <v>0.36799999999999999</v>
      </c>
      <c r="M485" s="16">
        <v>0.98599999999999999</v>
      </c>
      <c r="N485" s="14" t="str">
        <f>IF(G485&gt;='Resumen Ejecutivo'!$C$8, "CRÍTICA", IF(G485&gt;='Resumen Ejecutivo'!$C$7, "TEMPRANA", "NORMAL"))</f>
        <v>NORMAL</v>
      </c>
    </row>
    <row r="486" spans="2:14" x14ac:dyDescent="0.25">
      <c r="B486" s="19">
        <v>482</v>
      </c>
      <c r="C486" s="19" t="s">
        <v>130</v>
      </c>
      <c r="D486" s="19" t="s">
        <v>131</v>
      </c>
      <c r="E486" s="19" t="s">
        <v>57</v>
      </c>
      <c r="F486" s="20">
        <v>1</v>
      </c>
      <c r="G486" s="20">
        <v>1</v>
      </c>
      <c r="H486" s="20">
        <f t="shared" si="21"/>
        <v>0</v>
      </c>
      <c r="I486" s="20">
        <f t="shared" si="22"/>
        <v>0</v>
      </c>
      <c r="J486" s="21">
        <f t="shared" si="23"/>
        <v>0</v>
      </c>
      <c r="K486" s="22">
        <v>27.4</v>
      </c>
      <c r="L486" s="23">
        <v>0.33400000000000002</v>
      </c>
      <c r="M486" s="21">
        <v>0.95799999999999996</v>
      </c>
      <c r="N486" s="19" t="str">
        <f>IF(G486&gt;='Resumen Ejecutivo'!$C$8, "CRÍTICA", IF(G486&gt;='Resumen Ejecutivo'!$C$7, "TEMPRANA", "NORMAL"))</f>
        <v>NORMAL</v>
      </c>
    </row>
    <row r="487" spans="2:14" x14ac:dyDescent="0.25">
      <c r="B487" s="14">
        <v>483</v>
      </c>
      <c r="C487" s="14" t="s">
        <v>130</v>
      </c>
      <c r="D487" s="14" t="s">
        <v>131</v>
      </c>
      <c r="E487" s="14" t="s">
        <v>58</v>
      </c>
      <c r="F487" s="15">
        <v>2</v>
      </c>
      <c r="G487" s="15">
        <v>3</v>
      </c>
      <c r="H487" s="15">
        <f t="shared" si="21"/>
        <v>1</v>
      </c>
      <c r="I487" s="15">
        <f t="shared" si="22"/>
        <v>1</v>
      </c>
      <c r="J487" s="16">
        <f t="shared" si="23"/>
        <v>0.5</v>
      </c>
      <c r="K487" s="17">
        <v>27.2</v>
      </c>
      <c r="L487" s="18">
        <v>0.372</v>
      </c>
      <c r="M487" s="16">
        <v>0.96899999999999997</v>
      </c>
      <c r="N487" s="14" t="str">
        <f>IF(G487&gt;='Resumen Ejecutivo'!$C$8, "CRÍTICA", IF(G487&gt;='Resumen Ejecutivo'!$C$7, "TEMPRANA", "NORMAL"))</f>
        <v>NORMAL</v>
      </c>
    </row>
    <row r="488" spans="2:14" x14ac:dyDescent="0.25">
      <c r="B488" s="19">
        <v>484</v>
      </c>
      <c r="C488" s="19" t="s">
        <v>130</v>
      </c>
      <c r="D488" s="19" t="s">
        <v>131</v>
      </c>
      <c r="E488" s="19" t="s">
        <v>59</v>
      </c>
      <c r="F488" s="20">
        <v>0</v>
      </c>
      <c r="G488" s="20">
        <v>0</v>
      </c>
      <c r="H488" s="20">
        <f t="shared" si="21"/>
        <v>0</v>
      </c>
      <c r="I488" s="20">
        <f t="shared" si="22"/>
        <v>0</v>
      </c>
      <c r="J488" s="21">
        <f t="shared" si="23"/>
        <v>0</v>
      </c>
      <c r="K488" s="22">
        <v>28.2</v>
      </c>
      <c r="L488" s="23">
        <v>0.34699999999999998</v>
      </c>
      <c r="M488" s="21">
        <v>0.98799999999999999</v>
      </c>
      <c r="N488" s="19" t="str">
        <f>IF(G488&gt;='Resumen Ejecutivo'!$C$8, "CRÍTICA", IF(G488&gt;='Resumen Ejecutivo'!$C$7, "TEMPRANA", "NORMAL"))</f>
        <v>NORMAL</v>
      </c>
    </row>
    <row r="489" spans="2:14" x14ac:dyDescent="0.25">
      <c r="B489" s="14">
        <v>485</v>
      </c>
      <c r="C489" s="14" t="s">
        <v>130</v>
      </c>
      <c r="D489" s="14" t="s">
        <v>131</v>
      </c>
      <c r="E489" s="14" t="s">
        <v>60</v>
      </c>
      <c r="F489" s="15">
        <v>0</v>
      </c>
      <c r="G489" s="15">
        <v>0</v>
      </c>
      <c r="H489" s="15">
        <f t="shared" si="21"/>
        <v>0</v>
      </c>
      <c r="I489" s="15">
        <f t="shared" si="22"/>
        <v>0</v>
      </c>
      <c r="J489" s="16">
        <f t="shared" si="23"/>
        <v>0</v>
      </c>
      <c r="K489" s="17">
        <v>27</v>
      </c>
      <c r="L489" s="18">
        <v>0.379</v>
      </c>
      <c r="M489" s="16">
        <v>0.98599999999999999</v>
      </c>
      <c r="N489" s="14" t="str">
        <f>IF(G489&gt;='Resumen Ejecutivo'!$C$8, "CRÍTICA", IF(G489&gt;='Resumen Ejecutivo'!$C$7, "TEMPRANA", "NORMAL"))</f>
        <v>NORMAL</v>
      </c>
    </row>
    <row r="490" spans="2:14" x14ac:dyDescent="0.25">
      <c r="B490" s="19">
        <v>486</v>
      </c>
      <c r="C490" s="19" t="s">
        <v>130</v>
      </c>
      <c r="D490" s="19" t="s">
        <v>131</v>
      </c>
      <c r="E490" s="19" t="s">
        <v>61</v>
      </c>
      <c r="F490" s="20">
        <v>0</v>
      </c>
      <c r="G490" s="20">
        <v>0</v>
      </c>
      <c r="H490" s="20">
        <f t="shared" si="21"/>
        <v>0</v>
      </c>
      <c r="I490" s="20">
        <f t="shared" si="22"/>
        <v>0</v>
      </c>
      <c r="J490" s="21">
        <f t="shared" si="23"/>
        <v>0</v>
      </c>
      <c r="K490" s="22">
        <v>27.6</v>
      </c>
      <c r="L490" s="23">
        <v>0.379</v>
      </c>
      <c r="M490" s="21">
        <v>0.95299999999999996</v>
      </c>
      <c r="N490" s="19" t="str">
        <f>IF(G490&gt;='Resumen Ejecutivo'!$C$8, "CRÍTICA", IF(G490&gt;='Resumen Ejecutivo'!$C$7, "TEMPRANA", "NORMAL"))</f>
        <v>NORMAL</v>
      </c>
    </row>
    <row r="491" spans="2:14" x14ac:dyDescent="0.25">
      <c r="B491" s="14">
        <v>487</v>
      </c>
      <c r="C491" s="14" t="s">
        <v>130</v>
      </c>
      <c r="D491" s="14" t="s">
        <v>131</v>
      </c>
      <c r="E491" s="14" t="s">
        <v>62</v>
      </c>
      <c r="F491" s="15">
        <v>0</v>
      </c>
      <c r="G491" s="15">
        <v>1</v>
      </c>
      <c r="H491" s="15">
        <f t="shared" si="21"/>
        <v>1</v>
      </c>
      <c r="I491" s="15">
        <f t="shared" si="22"/>
        <v>1</v>
      </c>
      <c r="J491" s="16">
        <f t="shared" si="23"/>
        <v>0</v>
      </c>
      <c r="K491" s="17">
        <v>27.5</v>
      </c>
      <c r="L491" s="18">
        <v>0.372</v>
      </c>
      <c r="M491" s="16">
        <v>0.96699999999999997</v>
      </c>
      <c r="N491" s="14" t="str">
        <f>IF(G491&gt;='Resumen Ejecutivo'!$C$8, "CRÍTICA", IF(G491&gt;='Resumen Ejecutivo'!$C$7, "TEMPRANA", "NORMAL"))</f>
        <v>NORMAL</v>
      </c>
    </row>
    <row r="492" spans="2:14" x14ac:dyDescent="0.25">
      <c r="B492" s="19">
        <v>488</v>
      </c>
      <c r="C492" s="19" t="s">
        <v>130</v>
      </c>
      <c r="D492" s="19" t="s">
        <v>131</v>
      </c>
      <c r="E492" s="19" t="s">
        <v>63</v>
      </c>
      <c r="F492" s="20">
        <v>1</v>
      </c>
      <c r="G492" s="20">
        <v>1</v>
      </c>
      <c r="H492" s="20">
        <f t="shared" si="21"/>
        <v>0</v>
      </c>
      <c r="I492" s="20">
        <f t="shared" si="22"/>
        <v>0</v>
      </c>
      <c r="J492" s="21">
        <f t="shared" si="23"/>
        <v>0</v>
      </c>
      <c r="K492" s="22">
        <v>28</v>
      </c>
      <c r="L492" s="23">
        <v>0.378</v>
      </c>
      <c r="M492" s="21">
        <v>0.97</v>
      </c>
      <c r="N492" s="19" t="str">
        <f>IF(G492&gt;='Resumen Ejecutivo'!$C$8, "CRÍTICA", IF(G492&gt;='Resumen Ejecutivo'!$C$7, "TEMPRANA", "NORMAL"))</f>
        <v>NORMAL</v>
      </c>
    </row>
    <row r="493" spans="2:14" x14ac:dyDescent="0.25">
      <c r="B493" s="14">
        <v>489</v>
      </c>
      <c r="C493" s="14" t="s">
        <v>130</v>
      </c>
      <c r="D493" s="14" t="s">
        <v>131</v>
      </c>
      <c r="E493" s="14" t="s">
        <v>64</v>
      </c>
      <c r="F493" s="15">
        <v>3</v>
      </c>
      <c r="G493" s="15">
        <v>3</v>
      </c>
      <c r="H493" s="15">
        <f t="shared" si="21"/>
        <v>0</v>
      </c>
      <c r="I493" s="15">
        <f t="shared" si="22"/>
        <v>0</v>
      </c>
      <c r="J493" s="16">
        <f t="shared" si="23"/>
        <v>0</v>
      </c>
      <c r="K493" s="17">
        <v>28</v>
      </c>
      <c r="L493" s="18">
        <v>0.33100000000000002</v>
      </c>
      <c r="M493" s="16">
        <v>0.96399999999999997</v>
      </c>
      <c r="N493" s="14" t="str">
        <f>IF(G493&gt;='Resumen Ejecutivo'!$C$8, "CRÍTICA", IF(G493&gt;='Resumen Ejecutivo'!$C$7, "TEMPRANA", "NORMAL"))</f>
        <v>NORMAL</v>
      </c>
    </row>
    <row r="494" spans="2:14" x14ac:dyDescent="0.25">
      <c r="B494" s="19">
        <v>490</v>
      </c>
      <c r="C494" s="19" t="s">
        <v>130</v>
      </c>
      <c r="D494" s="19" t="s">
        <v>131</v>
      </c>
      <c r="E494" s="19" t="s">
        <v>65</v>
      </c>
      <c r="F494" s="20">
        <v>0</v>
      </c>
      <c r="G494" s="20">
        <v>0</v>
      </c>
      <c r="H494" s="20">
        <f t="shared" si="21"/>
        <v>0</v>
      </c>
      <c r="I494" s="20">
        <f t="shared" si="22"/>
        <v>0</v>
      </c>
      <c r="J494" s="21">
        <f t="shared" si="23"/>
        <v>0</v>
      </c>
      <c r="K494" s="22">
        <v>28.4</v>
      </c>
      <c r="L494" s="23">
        <v>0.35499999999999998</v>
      </c>
      <c r="M494" s="21">
        <v>0.96799999999999997</v>
      </c>
      <c r="N494" s="19" t="str">
        <f>IF(G494&gt;='Resumen Ejecutivo'!$C$8, "CRÍTICA", IF(G494&gt;='Resumen Ejecutivo'!$C$7, "TEMPRANA", "NORMAL"))</f>
        <v>NORMAL</v>
      </c>
    </row>
    <row r="495" spans="2:14" x14ac:dyDescent="0.25">
      <c r="B495" s="14">
        <v>491</v>
      </c>
      <c r="C495" s="14" t="s">
        <v>130</v>
      </c>
      <c r="D495" s="14" t="s">
        <v>131</v>
      </c>
      <c r="E495" s="14" t="s">
        <v>66</v>
      </c>
      <c r="F495" s="15">
        <v>2</v>
      </c>
      <c r="G495" s="15">
        <v>2</v>
      </c>
      <c r="H495" s="15">
        <f t="shared" si="21"/>
        <v>0</v>
      </c>
      <c r="I495" s="15">
        <f t="shared" si="22"/>
        <v>0</v>
      </c>
      <c r="J495" s="16">
        <f t="shared" si="23"/>
        <v>0</v>
      </c>
      <c r="K495" s="17">
        <v>28.3</v>
      </c>
      <c r="L495" s="18">
        <v>0.35199999999999998</v>
      </c>
      <c r="M495" s="16">
        <v>0.98399999999999999</v>
      </c>
      <c r="N495" s="14" t="str">
        <f>IF(G495&gt;='Resumen Ejecutivo'!$C$8, "CRÍTICA", IF(G495&gt;='Resumen Ejecutivo'!$C$7, "TEMPRANA", "NORMAL"))</f>
        <v>NORMAL</v>
      </c>
    </row>
    <row r="496" spans="2:14" x14ac:dyDescent="0.25">
      <c r="B496" s="19">
        <v>492</v>
      </c>
      <c r="C496" s="19" t="s">
        <v>130</v>
      </c>
      <c r="D496" s="19" t="s">
        <v>131</v>
      </c>
      <c r="E496" s="19" t="s">
        <v>67</v>
      </c>
      <c r="F496" s="20">
        <v>1</v>
      </c>
      <c r="G496" s="20">
        <v>1</v>
      </c>
      <c r="H496" s="20">
        <f t="shared" si="21"/>
        <v>0</v>
      </c>
      <c r="I496" s="20">
        <f t="shared" si="22"/>
        <v>0</v>
      </c>
      <c r="J496" s="21">
        <f t="shared" si="23"/>
        <v>0</v>
      </c>
      <c r="K496" s="22">
        <v>27.9</v>
      </c>
      <c r="L496" s="23">
        <v>0.33400000000000002</v>
      </c>
      <c r="M496" s="21">
        <v>0.98099999999999998</v>
      </c>
      <c r="N496" s="19" t="str">
        <f>IF(G496&gt;='Resumen Ejecutivo'!$C$8, "CRÍTICA", IF(G496&gt;='Resumen Ejecutivo'!$C$7, "TEMPRANA", "NORMAL"))</f>
        <v>NORMAL</v>
      </c>
    </row>
    <row r="497" spans="2:14" x14ac:dyDescent="0.25">
      <c r="B497" s="14">
        <v>493</v>
      </c>
      <c r="C497" s="14" t="s">
        <v>130</v>
      </c>
      <c r="D497" s="14" t="s">
        <v>131</v>
      </c>
      <c r="E497" s="14" t="s">
        <v>68</v>
      </c>
      <c r="F497" s="15">
        <v>1</v>
      </c>
      <c r="G497" s="15">
        <v>1</v>
      </c>
      <c r="H497" s="15">
        <f t="shared" si="21"/>
        <v>0</v>
      </c>
      <c r="I497" s="15">
        <f t="shared" si="22"/>
        <v>0</v>
      </c>
      <c r="J497" s="16">
        <f t="shared" si="23"/>
        <v>0</v>
      </c>
      <c r="K497" s="17">
        <v>28.1</v>
      </c>
      <c r="L497" s="18">
        <v>0.36599999999999999</v>
      </c>
      <c r="M497" s="16">
        <v>0.95399999999999996</v>
      </c>
      <c r="N497" s="14" t="str">
        <f>IF(G497&gt;='Resumen Ejecutivo'!$C$8, "CRÍTICA", IF(G497&gt;='Resumen Ejecutivo'!$C$7, "TEMPRANA", "NORMAL"))</f>
        <v>NORMAL</v>
      </c>
    </row>
    <row r="498" spans="2:14" x14ac:dyDescent="0.25">
      <c r="B498" s="19">
        <v>494</v>
      </c>
      <c r="C498" s="19" t="s">
        <v>130</v>
      </c>
      <c r="D498" s="19" t="s">
        <v>131</v>
      </c>
      <c r="E498" s="19" t="s">
        <v>69</v>
      </c>
      <c r="F498" s="20">
        <v>3</v>
      </c>
      <c r="G498" s="20">
        <v>3</v>
      </c>
      <c r="H498" s="20">
        <f t="shared" si="21"/>
        <v>0</v>
      </c>
      <c r="I498" s="20">
        <f t="shared" si="22"/>
        <v>0</v>
      </c>
      <c r="J498" s="21">
        <f t="shared" si="23"/>
        <v>0</v>
      </c>
      <c r="K498" s="22">
        <v>27</v>
      </c>
      <c r="L498" s="23">
        <v>0.36599999999999999</v>
      </c>
      <c r="M498" s="21">
        <v>0.98199999999999998</v>
      </c>
      <c r="N498" s="19" t="str">
        <f>IF(G498&gt;='Resumen Ejecutivo'!$C$8, "CRÍTICA", IF(G498&gt;='Resumen Ejecutivo'!$C$7, "TEMPRANA", "NORMAL"))</f>
        <v>NORMAL</v>
      </c>
    </row>
    <row r="499" spans="2:14" x14ac:dyDescent="0.25">
      <c r="B499" s="14">
        <v>495</v>
      </c>
      <c r="C499" s="14" t="s">
        <v>130</v>
      </c>
      <c r="D499" s="14" t="s">
        <v>131</v>
      </c>
      <c r="E499" s="14" t="s">
        <v>70</v>
      </c>
      <c r="F499" s="15">
        <v>2</v>
      </c>
      <c r="G499" s="15">
        <v>2</v>
      </c>
      <c r="H499" s="15">
        <f t="shared" si="21"/>
        <v>0</v>
      </c>
      <c r="I499" s="15">
        <f t="shared" si="22"/>
        <v>0</v>
      </c>
      <c r="J499" s="16">
        <f t="shared" si="23"/>
        <v>0</v>
      </c>
      <c r="K499" s="17">
        <v>28</v>
      </c>
      <c r="L499" s="18">
        <v>0.34599999999999997</v>
      </c>
      <c r="M499" s="16">
        <v>0.95499999999999996</v>
      </c>
      <c r="N499" s="14" t="str">
        <f>IF(G499&gt;='Resumen Ejecutivo'!$C$8, "CRÍTICA", IF(G499&gt;='Resumen Ejecutivo'!$C$7, "TEMPRANA", "NORMAL"))</f>
        <v>NORMAL</v>
      </c>
    </row>
    <row r="500" spans="2:14" x14ac:dyDescent="0.25">
      <c r="B500" s="19">
        <v>496</v>
      </c>
      <c r="C500" s="19" t="s">
        <v>130</v>
      </c>
      <c r="D500" s="19" t="s">
        <v>131</v>
      </c>
      <c r="E500" s="19" t="s">
        <v>71</v>
      </c>
      <c r="F500" s="20">
        <v>8</v>
      </c>
      <c r="G500" s="20">
        <v>8</v>
      </c>
      <c r="H500" s="20">
        <f t="shared" si="21"/>
        <v>0</v>
      </c>
      <c r="I500" s="20">
        <f t="shared" si="22"/>
        <v>0</v>
      </c>
      <c r="J500" s="21">
        <f t="shared" si="23"/>
        <v>0</v>
      </c>
      <c r="K500" s="22">
        <v>26.8</v>
      </c>
      <c r="L500" s="23">
        <v>0.34499999999999997</v>
      </c>
      <c r="M500" s="21">
        <v>0.96799999999999997</v>
      </c>
      <c r="N500" s="19" t="str">
        <f>IF(G500&gt;='Resumen Ejecutivo'!$C$8, "CRÍTICA", IF(G500&gt;='Resumen Ejecutivo'!$C$7, "TEMPRANA", "NORMAL"))</f>
        <v>NORMAL</v>
      </c>
    </row>
    <row r="501" spans="2:14" x14ac:dyDescent="0.25">
      <c r="B501" s="14">
        <v>497</v>
      </c>
      <c r="C501" s="14" t="s">
        <v>130</v>
      </c>
      <c r="D501" s="14" t="s">
        <v>131</v>
      </c>
      <c r="E501" s="14" t="s">
        <v>72</v>
      </c>
      <c r="F501" s="15">
        <v>2</v>
      </c>
      <c r="G501" s="15">
        <v>2</v>
      </c>
      <c r="H501" s="15">
        <f t="shared" si="21"/>
        <v>0</v>
      </c>
      <c r="I501" s="15">
        <f t="shared" si="22"/>
        <v>0</v>
      </c>
      <c r="J501" s="16">
        <f t="shared" si="23"/>
        <v>0</v>
      </c>
      <c r="K501" s="17">
        <v>27.2</v>
      </c>
      <c r="L501" s="18">
        <v>0.33700000000000002</v>
      </c>
      <c r="M501" s="16">
        <v>0.95899999999999996</v>
      </c>
      <c r="N501" s="14" t="str">
        <f>IF(G501&gt;='Resumen Ejecutivo'!$C$8, "CRÍTICA", IF(G501&gt;='Resumen Ejecutivo'!$C$7, "TEMPRANA", "NORMAL"))</f>
        <v>NORMAL</v>
      </c>
    </row>
    <row r="502" spans="2:14" x14ac:dyDescent="0.25">
      <c r="B502" s="19">
        <v>498</v>
      </c>
      <c r="C502" s="19" t="s">
        <v>130</v>
      </c>
      <c r="D502" s="19" t="s">
        <v>131</v>
      </c>
      <c r="E502" s="19" t="s">
        <v>73</v>
      </c>
      <c r="F502" s="20">
        <v>2</v>
      </c>
      <c r="G502" s="20">
        <v>2</v>
      </c>
      <c r="H502" s="20">
        <f t="shared" si="21"/>
        <v>0</v>
      </c>
      <c r="I502" s="20">
        <f t="shared" si="22"/>
        <v>0</v>
      </c>
      <c r="J502" s="21">
        <f t="shared" si="23"/>
        <v>0</v>
      </c>
      <c r="K502" s="22">
        <v>27.5</v>
      </c>
      <c r="L502" s="23">
        <v>0.35799999999999998</v>
      </c>
      <c r="M502" s="21">
        <v>0.97</v>
      </c>
      <c r="N502" s="19" t="str">
        <f>IF(G502&gt;='Resumen Ejecutivo'!$C$8, "CRÍTICA", IF(G502&gt;='Resumen Ejecutivo'!$C$7, "TEMPRANA", "NORMAL"))</f>
        <v>NORMAL</v>
      </c>
    </row>
    <row r="503" spans="2:14" x14ac:dyDescent="0.25">
      <c r="B503" s="14">
        <v>499</v>
      </c>
      <c r="C503" s="14" t="s">
        <v>130</v>
      </c>
      <c r="D503" s="14" t="s">
        <v>131</v>
      </c>
      <c r="E503" s="14" t="s">
        <v>74</v>
      </c>
      <c r="F503" s="15">
        <v>3</v>
      </c>
      <c r="G503" s="15">
        <v>3</v>
      </c>
      <c r="H503" s="15">
        <f t="shared" si="21"/>
        <v>0</v>
      </c>
      <c r="I503" s="15">
        <f t="shared" si="22"/>
        <v>0</v>
      </c>
      <c r="J503" s="16">
        <f t="shared" si="23"/>
        <v>0</v>
      </c>
      <c r="K503" s="17">
        <v>26.8</v>
      </c>
      <c r="L503" s="18">
        <v>0.34799999999999998</v>
      </c>
      <c r="M503" s="16">
        <v>0.95499999999999996</v>
      </c>
      <c r="N503" s="14" t="str">
        <f>IF(G503&gt;='Resumen Ejecutivo'!$C$8, "CRÍTICA", IF(G503&gt;='Resumen Ejecutivo'!$C$7, "TEMPRANA", "NORMAL"))</f>
        <v>NORMAL</v>
      </c>
    </row>
    <row r="504" spans="2:14" x14ac:dyDescent="0.25">
      <c r="B504" s="19">
        <v>500</v>
      </c>
      <c r="C504" s="19" t="s">
        <v>130</v>
      </c>
      <c r="D504" s="19" t="s">
        <v>131</v>
      </c>
      <c r="E504" s="19" t="s">
        <v>75</v>
      </c>
      <c r="F504" s="20">
        <v>3</v>
      </c>
      <c r="G504" s="20">
        <v>3</v>
      </c>
      <c r="H504" s="20">
        <f t="shared" si="21"/>
        <v>0</v>
      </c>
      <c r="I504" s="20">
        <f t="shared" si="22"/>
        <v>0</v>
      </c>
      <c r="J504" s="21">
        <f t="shared" si="23"/>
        <v>0</v>
      </c>
      <c r="K504" s="22">
        <v>27.8</v>
      </c>
      <c r="L504" s="23">
        <v>0.34599999999999997</v>
      </c>
      <c r="M504" s="21">
        <v>0.96899999999999997</v>
      </c>
      <c r="N504" s="19" t="str">
        <f>IF(G504&gt;='Resumen Ejecutivo'!$C$8, "CRÍTICA", IF(G504&gt;='Resumen Ejecutivo'!$C$7, "TEMPRANA", "NORMAL"))</f>
        <v>NORMAL</v>
      </c>
    </row>
    <row r="505" spans="2:14" x14ac:dyDescent="0.25">
      <c r="B505" s="14">
        <v>501</v>
      </c>
      <c r="C505" s="14" t="s">
        <v>130</v>
      </c>
      <c r="D505" s="14" t="s">
        <v>131</v>
      </c>
      <c r="E505" s="14" t="s">
        <v>76</v>
      </c>
      <c r="F505" s="15">
        <v>2</v>
      </c>
      <c r="G505" s="15">
        <v>2</v>
      </c>
      <c r="H505" s="15">
        <f t="shared" si="21"/>
        <v>0</v>
      </c>
      <c r="I505" s="15">
        <f t="shared" si="22"/>
        <v>0</v>
      </c>
      <c r="J505" s="16">
        <f t="shared" si="23"/>
        <v>0</v>
      </c>
      <c r="K505" s="17">
        <v>27.3</v>
      </c>
      <c r="L505" s="18">
        <v>0.34899999999999998</v>
      </c>
      <c r="M505" s="16">
        <v>0.95399999999999996</v>
      </c>
      <c r="N505" s="14" t="str">
        <f>IF(G505&gt;='Resumen Ejecutivo'!$C$8, "CRÍTICA", IF(G505&gt;='Resumen Ejecutivo'!$C$7, "TEMPRANA", "NORMAL"))</f>
        <v>NORMAL</v>
      </c>
    </row>
    <row r="506" spans="2:14" x14ac:dyDescent="0.25">
      <c r="B506" s="19">
        <v>502</v>
      </c>
      <c r="C506" s="19" t="s">
        <v>130</v>
      </c>
      <c r="D506" s="19" t="s">
        <v>131</v>
      </c>
      <c r="E506" s="19" t="s">
        <v>77</v>
      </c>
      <c r="F506" s="20">
        <v>2</v>
      </c>
      <c r="G506" s="20">
        <v>2</v>
      </c>
      <c r="H506" s="20">
        <f t="shared" si="21"/>
        <v>0</v>
      </c>
      <c r="I506" s="20">
        <f t="shared" si="22"/>
        <v>0</v>
      </c>
      <c r="J506" s="21">
        <f t="shared" si="23"/>
        <v>0</v>
      </c>
      <c r="K506" s="22">
        <v>28.2</v>
      </c>
      <c r="L506" s="23">
        <v>0.375</v>
      </c>
      <c r="M506" s="21">
        <v>0.999</v>
      </c>
      <c r="N506" s="19" t="str">
        <f>IF(G506&gt;='Resumen Ejecutivo'!$C$8, "CRÍTICA", IF(G506&gt;='Resumen Ejecutivo'!$C$7, "TEMPRANA", "NORMAL"))</f>
        <v>NORMAL</v>
      </c>
    </row>
    <row r="507" spans="2:14" x14ac:dyDescent="0.25">
      <c r="B507" s="14">
        <v>503</v>
      </c>
      <c r="C507" s="14" t="s">
        <v>130</v>
      </c>
      <c r="D507" s="14" t="s">
        <v>131</v>
      </c>
      <c r="E507" s="14" t="s">
        <v>78</v>
      </c>
      <c r="F507" s="15">
        <v>4</v>
      </c>
      <c r="G507" s="15">
        <v>4</v>
      </c>
      <c r="H507" s="15">
        <f t="shared" si="21"/>
        <v>0</v>
      </c>
      <c r="I507" s="15">
        <f t="shared" si="22"/>
        <v>0</v>
      </c>
      <c r="J507" s="16">
        <f t="shared" si="23"/>
        <v>0</v>
      </c>
      <c r="K507" s="17">
        <v>27.7</v>
      </c>
      <c r="L507" s="18">
        <v>0.33800000000000002</v>
      </c>
      <c r="M507" s="16">
        <v>0.96899999999999997</v>
      </c>
      <c r="N507" s="14" t="str">
        <f>IF(G507&gt;='Resumen Ejecutivo'!$C$8, "CRÍTICA", IF(G507&gt;='Resumen Ejecutivo'!$C$7, "TEMPRANA", "NORMAL"))</f>
        <v>NORMAL</v>
      </c>
    </row>
    <row r="508" spans="2:14" x14ac:dyDescent="0.25">
      <c r="B508" s="19">
        <v>504</v>
      </c>
      <c r="C508" s="19" t="s">
        <v>130</v>
      </c>
      <c r="D508" s="19" t="s">
        <v>131</v>
      </c>
      <c r="E508" s="19" t="s">
        <v>79</v>
      </c>
      <c r="F508" s="20">
        <v>6</v>
      </c>
      <c r="G508" s="20">
        <v>5</v>
      </c>
      <c r="H508" s="20">
        <f t="shared" si="21"/>
        <v>1</v>
      </c>
      <c r="I508" s="20">
        <f t="shared" si="22"/>
        <v>1</v>
      </c>
      <c r="J508" s="21">
        <f t="shared" si="23"/>
        <v>0.16666666666666666</v>
      </c>
      <c r="K508" s="22">
        <v>27</v>
      </c>
      <c r="L508" s="23">
        <v>0.34499999999999997</v>
      </c>
      <c r="M508" s="21">
        <v>0.97499999999999998</v>
      </c>
      <c r="N508" s="19" t="str">
        <f>IF(G508&gt;='Resumen Ejecutivo'!$C$8, "CRÍTICA", IF(G508&gt;='Resumen Ejecutivo'!$C$7, "TEMPRANA", "NORMAL"))</f>
        <v>NORMAL</v>
      </c>
    </row>
    <row r="509" spans="2:14" x14ac:dyDescent="0.25">
      <c r="B509" s="14">
        <v>505</v>
      </c>
      <c r="C509" s="14" t="s">
        <v>130</v>
      </c>
      <c r="D509" s="14" t="s">
        <v>131</v>
      </c>
      <c r="E509" s="14" t="s">
        <v>80</v>
      </c>
      <c r="F509" s="15">
        <v>3</v>
      </c>
      <c r="G509" s="15">
        <v>3</v>
      </c>
      <c r="H509" s="15">
        <f t="shared" si="21"/>
        <v>0</v>
      </c>
      <c r="I509" s="15">
        <f t="shared" si="22"/>
        <v>0</v>
      </c>
      <c r="J509" s="16">
        <f t="shared" si="23"/>
        <v>0</v>
      </c>
      <c r="K509" s="17">
        <v>26.9</v>
      </c>
      <c r="L509" s="18">
        <v>0.35199999999999998</v>
      </c>
      <c r="M509" s="16">
        <v>0.97099999999999997</v>
      </c>
      <c r="N509" s="14" t="str">
        <f>IF(G509&gt;='Resumen Ejecutivo'!$C$8, "CRÍTICA", IF(G509&gt;='Resumen Ejecutivo'!$C$7, "TEMPRANA", "NORMAL"))</f>
        <v>NORMAL</v>
      </c>
    </row>
    <row r="510" spans="2:14" x14ac:dyDescent="0.25">
      <c r="B510" s="19">
        <v>506</v>
      </c>
      <c r="C510" s="19" t="s">
        <v>130</v>
      </c>
      <c r="D510" s="19" t="s">
        <v>131</v>
      </c>
      <c r="E510" s="19" t="s">
        <v>81</v>
      </c>
      <c r="F510" s="20">
        <v>5</v>
      </c>
      <c r="G510" s="20">
        <v>5</v>
      </c>
      <c r="H510" s="20">
        <f t="shared" si="21"/>
        <v>0</v>
      </c>
      <c r="I510" s="20">
        <f t="shared" si="22"/>
        <v>0</v>
      </c>
      <c r="J510" s="21">
        <f t="shared" si="23"/>
        <v>0</v>
      </c>
      <c r="K510" s="22">
        <v>27.6</v>
      </c>
      <c r="L510" s="23">
        <v>0.33400000000000002</v>
      </c>
      <c r="M510" s="21">
        <v>0.96299999999999997</v>
      </c>
      <c r="N510" s="19" t="str">
        <f>IF(G510&gt;='Resumen Ejecutivo'!$C$8, "CRÍTICA", IF(G510&gt;='Resumen Ejecutivo'!$C$7, "TEMPRANA", "NORMAL"))</f>
        <v>NORMAL</v>
      </c>
    </row>
    <row r="511" spans="2:14" x14ac:dyDescent="0.25">
      <c r="B511" s="14">
        <v>507</v>
      </c>
      <c r="C511" s="14" t="s">
        <v>130</v>
      </c>
      <c r="D511" s="14" t="s">
        <v>131</v>
      </c>
      <c r="E511" s="14" t="s">
        <v>82</v>
      </c>
      <c r="F511" s="15">
        <v>3</v>
      </c>
      <c r="G511" s="15">
        <v>3</v>
      </c>
      <c r="H511" s="15">
        <f t="shared" si="21"/>
        <v>0</v>
      </c>
      <c r="I511" s="15">
        <f t="shared" si="22"/>
        <v>0</v>
      </c>
      <c r="J511" s="16">
        <f t="shared" si="23"/>
        <v>0</v>
      </c>
      <c r="K511" s="17">
        <v>27.2</v>
      </c>
      <c r="L511" s="18">
        <v>0.36099999999999999</v>
      </c>
      <c r="M511" s="16">
        <v>0.98</v>
      </c>
      <c r="N511" s="14" t="str">
        <f>IF(G511&gt;='Resumen Ejecutivo'!$C$8, "CRÍTICA", IF(G511&gt;='Resumen Ejecutivo'!$C$7, "TEMPRANA", "NORMAL"))</f>
        <v>NORMAL</v>
      </c>
    </row>
    <row r="512" spans="2:14" x14ac:dyDescent="0.25">
      <c r="B512" s="19">
        <v>508</v>
      </c>
      <c r="C512" s="19" t="s">
        <v>130</v>
      </c>
      <c r="D512" s="19" t="s">
        <v>131</v>
      </c>
      <c r="E512" s="19" t="s">
        <v>83</v>
      </c>
      <c r="F512" s="20">
        <v>1</v>
      </c>
      <c r="G512" s="20">
        <v>1</v>
      </c>
      <c r="H512" s="20">
        <f t="shared" si="21"/>
        <v>0</v>
      </c>
      <c r="I512" s="20">
        <f t="shared" si="22"/>
        <v>0</v>
      </c>
      <c r="J512" s="21">
        <f t="shared" si="23"/>
        <v>0</v>
      </c>
      <c r="K512" s="22">
        <v>27.1</v>
      </c>
      <c r="L512" s="23">
        <v>0.33500000000000002</v>
      </c>
      <c r="M512" s="21">
        <v>0.96499999999999997</v>
      </c>
      <c r="N512" s="19" t="str">
        <f>IF(G512&gt;='Resumen Ejecutivo'!$C$8, "CRÍTICA", IF(G512&gt;='Resumen Ejecutivo'!$C$7, "TEMPRANA", "NORMAL"))</f>
        <v>NORMAL</v>
      </c>
    </row>
    <row r="513" spans="2:14" x14ac:dyDescent="0.25">
      <c r="B513" s="14">
        <v>509</v>
      </c>
      <c r="C513" s="14" t="s">
        <v>130</v>
      </c>
      <c r="D513" s="14" t="s">
        <v>131</v>
      </c>
      <c r="E513" s="14" t="s">
        <v>84</v>
      </c>
      <c r="F513" s="15">
        <v>2</v>
      </c>
      <c r="G513" s="15">
        <v>2</v>
      </c>
      <c r="H513" s="15">
        <f t="shared" si="21"/>
        <v>0</v>
      </c>
      <c r="I513" s="15">
        <f t="shared" si="22"/>
        <v>0</v>
      </c>
      <c r="J513" s="16">
        <f t="shared" si="23"/>
        <v>0</v>
      </c>
      <c r="K513" s="17">
        <v>28.3</v>
      </c>
      <c r="L513" s="18">
        <v>0.34699999999999998</v>
      </c>
      <c r="M513" s="16">
        <v>0.98099999999999998</v>
      </c>
      <c r="N513" s="14" t="str">
        <f>IF(G513&gt;='Resumen Ejecutivo'!$C$8, "CRÍTICA", IF(G513&gt;='Resumen Ejecutivo'!$C$7, "TEMPRANA", "NORMAL"))</f>
        <v>NORMAL</v>
      </c>
    </row>
    <row r="514" spans="2:14" x14ac:dyDescent="0.25">
      <c r="B514" s="19">
        <v>510</v>
      </c>
      <c r="C514" s="19" t="s">
        <v>130</v>
      </c>
      <c r="D514" s="19" t="s">
        <v>131</v>
      </c>
      <c r="E514" s="19" t="s">
        <v>85</v>
      </c>
      <c r="F514" s="20">
        <v>3</v>
      </c>
      <c r="G514" s="20">
        <v>3</v>
      </c>
      <c r="H514" s="20">
        <f t="shared" si="21"/>
        <v>0</v>
      </c>
      <c r="I514" s="20">
        <f t="shared" si="22"/>
        <v>0</v>
      </c>
      <c r="J514" s="21">
        <f t="shared" si="23"/>
        <v>0</v>
      </c>
      <c r="K514" s="22">
        <v>28.1</v>
      </c>
      <c r="L514" s="23">
        <v>0.34599999999999997</v>
      </c>
      <c r="M514" s="21">
        <v>0.96699999999999997</v>
      </c>
      <c r="N514" s="19" t="str">
        <f>IF(G514&gt;='Resumen Ejecutivo'!$C$8, "CRÍTICA", IF(G514&gt;='Resumen Ejecutivo'!$C$7, "TEMPRANA", "NORMAL"))</f>
        <v>NORMAL</v>
      </c>
    </row>
    <row r="515" spans="2:14" x14ac:dyDescent="0.25">
      <c r="B515" s="14">
        <v>511</v>
      </c>
      <c r="C515" s="14" t="s">
        <v>130</v>
      </c>
      <c r="D515" s="14" t="s">
        <v>131</v>
      </c>
      <c r="E515" s="14" t="s">
        <v>86</v>
      </c>
      <c r="F515" s="15">
        <v>6</v>
      </c>
      <c r="G515" s="15">
        <v>6</v>
      </c>
      <c r="H515" s="15">
        <f t="shared" si="21"/>
        <v>0</v>
      </c>
      <c r="I515" s="15">
        <f t="shared" si="22"/>
        <v>0</v>
      </c>
      <c r="J515" s="16">
        <f t="shared" si="23"/>
        <v>0</v>
      </c>
      <c r="K515" s="17">
        <v>28.1</v>
      </c>
      <c r="L515" s="18">
        <v>0.373</v>
      </c>
      <c r="M515" s="16">
        <v>0.999</v>
      </c>
      <c r="N515" s="14" t="str">
        <f>IF(G515&gt;='Resumen Ejecutivo'!$C$8, "CRÍTICA", IF(G515&gt;='Resumen Ejecutivo'!$C$7, "TEMPRANA", "NORMAL"))</f>
        <v>NORMAL</v>
      </c>
    </row>
    <row r="516" spans="2:14" x14ac:dyDescent="0.25">
      <c r="B516" s="19">
        <v>512</v>
      </c>
      <c r="C516" s="19" t="s">
        <v>130</v>
      </c>
      <c r="D516" s="19" t="s">
        <v>131</v>
      </c>
      <c r="E516" s="19" t="s">
        <v>87</v>
      </c>
      <c r="F516" s="20">
        <v>9</v>
      </c>
      <c r="G516" s="20">
        <v>9</v>
      </c>
      <c r="H516" s="20">
        <f t="shared" si="21"/>
        <v>0</v>
      </c>
      <c r="I516" s="20">
        <f t="shared" si="22"/>
        <v>0</v>
      </c>
      <c r="J516" s="21">
        <f t="shared" si="23"/>
        <v>0</v>
      </c>
      <c r="K516" s="22">
        <v>27</v>
      </c>
      <c r="L516" s="23">
        <v>0.34599999999999997</v>
      </c>
      <c r="M516" s="21">
        <v>0.997</v>
      </c>
      <c r="N516" s="19" t="str">
        <f>IF(G516&gt;='Resumen Ejecutivo'!$C$8, "CRÍTICA", IF(G516&gt;='Resumen Ejecutivo'!$C$7, "TEMPRANA", "NORMAL"))</f>
        <v>NORMAL</v>
      </c>
    </row>
    <row r="517" spans="2:14" x14ac:dyDescent="0.25">
      <c r="B517" s="14">
        <v>513</v>
      </c>
      <c r="C517" s="14" t="s">
        <v>130</v>
      </c>
      <c r="D517" s="14" t="s">
        <v>131</v>
      </c>
      <c r="E517" s="14" t="s">
        <v>88</v>
      </c>
      <c r="F517" s="15">
        <v>6</v>
      </c>
      <c r="G517" s="15">
        <v>6</v>
      </c>
      <c r="H517" s="15">
        <f t="shared" ref="H517:H580" si="24">ABS(G517-F517)</f>
        <v>0</v>
      </c>
      <c r="I517" s="15">
        <f t="shared" ref="I517:I580" si="25">(G517-F517)^2</f>
        <v>0</v>
      </c>
      <c r="J517" s="16">
        <f t="shared" ref="J517:J580" si="26">IFERROR(H517/F517,0)</f>
        <v>0</v>
      </c>
      <c r="K517" s="17">
        <v>27.1</v>
      </c>
      <c r="L517" s="18">
        <v>0.34599999999999997</v>
      </c>
      <c r="M517" s="16">
        <v>0.998</v>
      </c>
      <c r="N517" s="14" t="str">
        <f>IF(G517&gt;='Resumen Ejecutivo'!$C$8, "CRÍTICA", IF(G517&gt;='Resumen Ejecutivo'!$C$7, "TEMPRANA", "NORMAL"))</f>
        <v>NORMAL</v>
      </c>
    </row>
    <row r="518" spans="2:14" x14ac:dyDescent="0.25">
      <c r="B518" s="19">
        <v>514</v>
      </c>
      <c r="C518" s="19" t="s">
        <v>130</v>
      </c>
      <c r="D518" s="19" t="s">
        <v>131</v>
      </c>
      <c r="E518" s="19" t="s">
        <v>89</v>
      </c>
      <c r="F518" s="20">
        <v>7</v>
      </c>
      <c r="G518" s="20">
        <v>7</v>
      </c>
      <c r="H518" s="20">
        <f t="shared" si="24"/>
        <v>0</v>
      </c>
      <c r="I518" s="20">
        <f t="shared" si="25"/>
        <v>0</v>
      </c>
      <c r="J518" s="21">
        <f t="shared" si="26"/>
        <v>0</v>
      </c>
      <c r="K518" s="22">
        <v>28.3</v>
      </c>
      <c r="L518" s="23">
        <v>0.34499999999999997</v>
      </c>
      <c r="M518" s="21">
        <v>0.98499999999999999</v>
      </c>
      <c r="N518" s="19" t="str">
        <f>IF(G518&gt;='Resumen Ejecutivo'!$C$8, "CRÍTICA", IF(G518&gt;='Resumen Ejecutivo'!$C$7, "TEMPRANA", "NORMAL"))</f>
        <v>NORMAL</v>
      </c>
    </row>
    <row r="519" spans="2:14" x14ac:dyDescent="0.25">
      <c r="B519" s="14">
        <v>515</v>
      </c>
      <c r="C519" s="14" t="s">
        <v>130</v>
      </c>
      <c r="D519" s="14" t="s">
        <v>131</v>
      </c>
      <c r="E519" s="14" t="s">
        <v>90</v>
      </c>
      <c r="F519" s="15">
        <v>6</v>
      </c>
      <c r="G519" s="15">
        <v>6</v>
      </c>
      <c r="H519" s="15">
        <f t="shared" si="24"/>
        <v>0</v>
      </c>
      <c r="I519" s="15">
        <f t="shared" si="25"/>
        <v>0</v>
      </c>
      <c r="J519" s="16">
        <f t="shared" si="26"/>
        <v>0</v>
      </c>
      <c r="K519" s="17">
        <v>27.6</v>
      </c>
      <c r="L519" s="18">
        <v>0.35899999999999999</v>
      </c>
      <c r="M519" s="16">
        <v>0.96199999999999997</v>
      </c>
      <c r="N519" s="14" t="str">
        <f>IF(G519&gt;='Resumen Ejecutivo'!$C$8, "CRÍTICA", IF(G519&gt;='Resumen Ejecutivo'!$C$7, "TEMPRANA", "NORMAL"))</f>
        <v>NORMAL</v>
      </c>
    </row>
    <row r="520" spans="2:14" x14ac:dyDescent="0.25">
      <c r="B520" s="19">
        <v>516</v>
      </c>
      <c r="C520" s="19" t="s">
        <v>130</v>
      </c>
      <c r="D520" s="19" t="s">
        <v>131</v>
      </c>
      <c r="E520" s="19" t="s">
        <v>91</v>
      </c>
      <c r="F520" s="20">
        <v>5</v>
      </c>
      <c r="G520" s="20">
        <v>5</v>
      </c>
      <c r="H520" s="20">
        <f t="shared" si="24"/>
        <v>0</v>
      </c>
      <c r="I520" s="20">
        <f t="shared" si="25"/>
        <v>0</v>
      </c>
      <c r="J520" s="21">
        <f t="shared" si="26"/>
        <v>0</v>
      </c>
      <c r="K520" s="22">
        <v>27.4</v>
      </c>
      <c r="L520" s="23">
        <v>0.371</v>
      </c>
      <c r="M520" s="21">
        <v>0.97</v>
      </c>
      <c r="N520" s="19" t="str">
        <f>IF(G520&gt;='Resumen Ejecutivo'!$C$8, "CRÍTICA", IF(G520&gt;='Resumen Ejecutivo'!$C$7, "TEMPRANA", "NORMAL"))</f>
        <v>NORMAL</v>
      </c>
    </row>
    <row r="521" spans="2:14" x14ac:dyDescent="0.25">
      <c r="B521" s="14">
        <v>517</v>
      </c>
      <c r="C521" s="14" t="s">
        <v>130</v>
      </c>
      <c r="D521" s="14" t="s">
        <v>131</v>
      </c>
      <c r="E521" s="14" t="s">
        <v>92</v>
      </c>
      <c r="F521" s="15">
        <v>9</v>
      </c>
      <c r="G521" s="15">
        <v>10</v>
      </c>
      <c r="H521" s="15">
        <f t="shared" si="24"/>
        <v>1</v>
      </c>
      <c r="I521" s="15">
        <f t="shared" si="25"/>
        <v>1</v>
      </c>
      <c r="J521" s="16">
        <f t="shared" si="26"/>
        <v>0.1111111111111111</v>
      </c>
      <c r="K521" s="17">
        <v>27</v>
      </c>
      <c r="L521" s="18">
        <v>0.35799999999999998</v>
      </c>
      <c r="M521" s="16">
        <v>0.98</v>
      </c>
      <c r="N521" s="14" t="str">
        <f>IF(G521&gt;='Resumen Ejecutivo'!$C$8, "CRÍTICA", IF(G521&gt;='Resumen Ejecutivo'!$C$7, "TEMPRANA", "NORMAL"))</f>
        <v>NORMAL</v>
      </c>
    </row>
    <row r="522" spans="2:14" x14ac:dyDescent="0.25">
      <c r="B522" s="19">
        <v>518</v>
      </c>
      <c r="C522" s="19" t="s">
        <v>130</v>
      </c>
      <c r="D522" s="19" t="s">
        <v>131</v>
      </c>
      <c r="E522" s="19" t="s">
        <v>93</v>
      </c>
      <c r="F522" s="20">
        <v>6</v>
      </c>
      <c r="G522" s="20">
        <v>6</v>
      </c>
      <c r="H522" s="20">
        <f t="shared" si="24"/>
        <v>0</v>
      </c>
      <c r="I522" s="20">
        <f t="shared" si="25"/>
        <v>0</v>
      </c>
      <c r="J522" s="21">
        <f t="shared" si="26"/>
        <v>0</v>
      </c>
      <c r="K522" s="22">
        <v>27.7</v>
      </c>
      <c r="L522" s="23">
        <v>0.36399999999999999</v>
      </c>
      <c r="M522" s="21">
        <v>0.97799999999999998</v>
      </c>
      <c r="N522" s="19" t="str">
        <f>IF(G522&gt;='Resumen Ejecutivo'!$C$8, "CRÍTICA", IF(G522&gt;='Resumen Ejecutivo'!$C$7, "TEMPRANA", "NORMAL"))</f>
        <v>NORMAL</v>
      </c>
    </row>
    <row r="523" spans="2:14" x14ac:dyDescent="0.25">
      <c r="B523" s="14">
        <v>519</v>
      </c>
      <c r="C523" s="14" t="s">
        <v>130</v>
      </c>
      <c r="D523" s="14" t="s">
        <v>131</v>
      </c>
      <c r="E523" s="14" t="s">
        <v>94</v>
      </c>
      <c r="F523" s="15">
        <v>6</v>
      </c>
      <c r="G523" s="15">
        <v>6</v>
      </c>
      <c r="H523" s="15">
        <f t="shared" si="24"/>
        <v>0</v>
      </c>
      <c r="I523" s="15">
        <f t="shared" si="25"/>
        <v>0</v>
      </c>
      <c r="J523" s="16">
        <f t="shared" si="26"/>
        <v>0</v>
      </c>
      <c r="K523" s="17">
        <v>28.3</v>
      </c>
      <c r="L523" s="18">
        <v>0.35299999999999998</v>
      </c>
      <c r="M523" s="16">
        <v>0.98499999999999999</v>
      </c>
      <c r="N523" s="14" t="str">
        <f>IF(G523&gt;='Resumen Ejecutivo'!$C$8, "CRÍTICA", IF(G523&gt;='Resumen Ejecutivo'!$C$7, "TEMPRANA", "NORMAL"))</f>
        <v>NORMAL</v>
      </c>
    </row>
    <row r="524" spans="2:14" x14ac:dyDescent="0.25">
      <c r="B524" s="19">
        <v>520</v>
      </c>
      <c r="C524" s="19" t="s">
        <v>130</v>
      </c>
      <c r="D524" s="19" t="s">
        <v>131</v>
      </c>
      <c r="E524" s="19" t="s">
        <v>95</v>
      </c>
      <c r="F524" s="20">
        <v>5</v>
      </c>
      <c r="G524" s="20">
        <v>5</v>
      </c>
      <c r="H524" s="20">
        <f t="shared" si="24"/>
        <v>0</v>
      </c>
      <c r="I524" s="20">
        <f t="shared" si="25"/>
        <v>0</v>
      </c>
      <c r="J524" s="21">
        <f t="shared" si="26"/>
        <v>0</v>
      </c>
      <c r="K524" s="22">
        <v>27.5</v>
      </c>
      <c r="L524" s="23">
        <v>0.34499999999999997</v>
      </c>
      <c r="M524" s="21">
        <v>0.98499999999999999</v>
      </c>
      <c r="N524" s="19" t="str">
        <f>IF(G524&gt;='Resumen Ejecutivo'!$C$8, "CRÍTICA", IF(G524&gt;='Resumen Ejecutivo'!$C$7, "TEMPRANA", "NORMAL"))</f>
        <v>NORMAL</v>
      </c>
    </row>
    <row r="525" spans="2:14" x14ac:dyDescent="0.25">
      <c r="B525" s="14">
        <v>521</v>
      </c>
      <c r="C525" s="14" t="s">
        <v>130</v>
      </c>
      <c r="D525" s="14" t="s">
        <v>131</v>
      </c>
      <c r="E525" s="14" t="s">
        <v>96</v>
      </c>
      <c r="F525" s="15">
        <v>8</v>
      </c>
      <c r="G525" s="15">
        <v>9</v>
      </c>
      <c r="H525" s="15">
        <f t="shared" si="24"/>
        <v>1</v>
      </c>
      <c r="I525" s="15">
        <f t="shared" si="25"/>
        <v>1</v>
      </c>
      <c r="J525" s="16">
        <f t="shared" si="26"/>
        <v>0.125</v>
      </c>
      <c r="K525" s="17">
        <v>28.1</v>
      </c>
      <c r="L525" s="18">
        <v>0.37</v>
      </c>
      <c r="M525" s="16">
        <v>0.97</v>
      </c>
      <c r="N525" s="14" t="str">
        <f>IF(G525&gt;='Resumen Ejecutivo'!$C$8, "CRÍTICA", IF(G525&gt;='Resumen Ejecutivo'!$C$7, "TEMPRANA", "NORMAL"))</f>
        <v>NORMAL</v>
      </c>
    </row>
    <row r="526" spans="2:14" x14ac:dyDescent="0.25">
      <c r="B526" s="19">
        <v>522</v>
      </c>
      <c r="C526" s="19" t="s">
        <v>130</v>
      </c>
      <c r="D526" s="19" t="s">
        <v>131</v>
      </c>
      <c r="E526" s="19" t="s">
        <v>97</v>
      </c>
      <c r="F526" s="20">
        <v>6</v>
      </c>
      <c r="G526" s="20">
        <v>6</v>
      </c>
      <c r="H526" s="20">
        <f t="shared" si="24"/>
        <v>0</v>
      </c>
      <c r="I526" s="20">
        <f t="shared" si="25"/>
        <v>0</v>
      </c>
      <c r="J526" s="21">
        <f t="shared" si="26"/>
        <v>0</v>
      </c>
      <c r="K526" s="22">
        <v>27.6</v>
      </c>
      <c r="L526" s="23">
        <v>0.36199999999999999</v>
      </c>
      <c r="M526" s="21">
        <v>0.96199999999999997</v>
      </c>
      <c r="N526" s="19" t="str">
        <f>IF(G526&gt;='Resumen Ejecutivo'!$C$8, "CRÍTICA", IF(G526&gt;='Resumen Ejecutivo'!$C$7, "TEMPRANA", "NORMAL"))</f>
        <v>NORMAL</v>
      </c>
    </row>
    <row r="527" spans="2:14" x14ac:dyDescent="0.25">
      <c r="B527" s="14">
        <v>523</v>
      </c>
      <c r="C527" s="14" t="s">
        <v>130</v>
      </c>
      <c r="D527" s="14" t="s">
        <v>131</v>
      </c>
      <c r="E527" s="14" t="s">
        <v>98</v>
      </c>
      <c r="F527" s="15">
        <v>6</v>
      </c>
      <c r="G527" s="15">
        <v>6</v>
      </c>
      <c r="H527" s="15">
        <f t="shared" si="24"/>
        <v>0</v>
      </c>
      <c r="I527" s="15">
        <f t="shared" si="25"/>
        <v>0</v>
      </c>
      <c r="J527" s="16">
        <f t="shared" si="26"/>
        <v>0</v>
      </c>
      <c r="K527" s="17">
        <v>27.9</v>
      </c>
      <c r="L527" s="18">
        <v>0.36599999999999999</v>
      </c>
      <c r="M527" s="16">
        <v>0.98899999999999999</v>
      </c>
      <c r="N527" s="14" t="str">
        <f>IF(G527&gt;='Resumen Ejecutivo'!$C$8, "CRÍTICA", IF(G527&gt;='Resumen Ejecutivo'!$C$7, "TEMPRANA", "NORMAL"))</f>
        <v>NORMAL</v>
      </c>
    </row>
    <row r="528" spans="2:14" x14ac:dyDescent="0.25">
      <c r="B528" s="19">
        <v>524</v>
      </c>
      <c r="C528" s="19" t="s">
        <v>130</v>
      </c>
      <c r="D528" s="19" t="s">
        <v>131</v>
      </c>
      <c r="E528" s="19" t="s">
        <v>99</v>
      </c>
      <c r="F528" s="20">
        <v>9</v>
      </c>
      <c r="G528" s="20">
        <v>9</v>
      </c>
      <c r="H528" s="20">
        <f t="shared" si="24"/>
        <v>0</v>
      </c>
      <c r="I528" s="20">
        <f t="shared" si="25"/>
        <v>0</v>
      </c>
      <c r="J528" s="21">
        <f t="shared" si="26"/>
        <v>0</v>
      </c>
      <c r="K528" s="22">
        <v>26.9</v>
      </c>
      <c r="L528" s="23">
        <v>0.38</v>
      </c>
      <c r="M528" s="21">
        <v>0.97399999999999998</v>
      </c>
      <c r="N528" s="19" t="str">
        <f>IF(G528&gt;='Resumen Ejecutivo'!$C$8, "CRÍTICA", IF(G528&gt;='Resumen Ejecutivo'!$C$7, "TEMPRANA", "NORMAL"))</f>
        <v>NORMAL</v>
      </c>
    </row>
    <row r="529" spans="2:14" x14ac:dyDescent="0.25">
      <c r="B529" s="14">
        <v>525</v>
      </c>
      <c r="C529" s="14" t="s">
        <v>130</v>
      </c>
      <c r="D529" s="14" t="s">
        <v>131</v>
      </c>
      <c r="E529" s="14" t="s">
        <v>100</v>
      </c>
      <c r="F529" s="15">
        <v>5</v>
      </c>
      <c r="G529" s="15">
        <v>5</v>
      </c>
      <c r="H529" s="15">
        <f t="shared" si="24"/>
        <v>0</v>
      </c>
      <c r="I529" s="15">
        <f t="shared" si="25"/>
        <v>0</v>
      </c>
      <c r="J529" s="16">
        <f t="shared" si="26"/>
        <v>0</v>
      </c>
      <c r="K529" s="17">
        <v>27.4</v>
      </c>
      <c r="L529" s="18">
        <v>0.35499999999999998</v>
      </c>
      <c r="M529" s="16">
        <v>0.996</v>
      </c>
      <c r="N529" s="14" t="str">
        <f>IF(G529&gt;='Resumen Ejecutivo'!$C$8, "CRÍTICA", IF(G529&gt;='Resumen Ejecutivo'!$C$7, "TEMPRANA", "NORMAL"))</f>
        <v>NORMAL</v>
      </c>
    </row>
    <row r="530" spans="2:14" x14ac:dyDescent="0.25">
      <c r="B530" s="19">
        <v>526</v>
      </c>
      <c r="C530" s="19" t="s">
        <v>130</v>
      </c>
      <c r="D530" s="19" t="s">
        <v>131</v>
      </c>
      <c r="E530" s="19" t="s">
        <v>101</v>
      </c>
      <c r="F530" s="20">
        <v>3</v>
      </c>
      <c r="G530" s="20">
        <v>2</v>
      </c>
      <c r="H530" s="20">
        <f t="shared" si="24"/>
        <v>1</v>
      </c>
      <c r="I530" s="20">
        <f t="shared" si="25"/>
        <v>1</v>
      </c>
      <c r="J530" s="21">
        <f t="shared" si="26"/>
        <v>0.33333333333333331</v>
      </c>
      <c r="K530" s="22">
        <v>27.9</v>
      </c>
      <c r="L530" s="23">
        <v>0.35699999999999998</v>
      </c>
      <c r="M530" s="21">
        <v>0.99</v>
      </c>
      <c r="N530" s="19" t="str">
        <f>IF(G530&gt;='Resumen Ejecutivo'!$C$8, "CRÍTICA", IF(G530&gt;='Resumen Ejecutivo'!$C$7, "TEMPRANA", "NORMAL"))</f>
        <v>NORMAL</v>
      </c>
    </row>
    <row r="531" spans="2:14" x14ac:dyDescent="0.25">
      <c r="B531" s="14">
        <v>527</v>
      </c>
      <c r="C531" s="14" t="s">
        <v>130</v>
      </c>
      <c r="D531" s="14" t="s">
        <v>131</v>
      </c>
      <c r="E531" s="14" t="s">
        <v>102</v>
      </c>
      <c r="F531" s="15">
        <v>2</v>
      </c>
      <c r="G531" s="15">
        <v>2</v>
      </c>
      <c r="H531" s="15">
        <f t="shared" si="24"/>
        <v>0</v>
      </c>
      <c r="I531" s="15">
        <f t="shared" si="25"/>
        <v>0</v>
      </c>
      <c r="J531" s="16">
        <f t="shared" si="26"/>
        <v>0</v>
      </c>
      <c r="K531" s="17">
        <v>27.4</v>
      </c>
      <c r="L531" s="18">
        <v>0.375</v>
      </c>
      <c r="M531" s="16">
        <v>0.97699999999999998</v>
      </c>
      <c r="N531" s="14" t="str">
        <f>IF(G531&gt;='Resumen Ejecutivo'!$C$8, "CRÍTICA", IF(G531&gt;='Resumen Ejecutivo'!$C$7, "TEMPRANA", "NORMAL"))</f>
        <v>NORMAL</v>
      </c>
    </row>
    <row r="532" spans="2:14" x14ac:dyDescent="0.25">
      <c r="B532" s="19">
        <v>528</v>
      </c>
      <c r="C532" s="19" t="s">
        <v>130</v>
      </c>
      <c r="D532" s="19" t="s">
        <v>131</v>
      </c>
      <c r="E532" s="19" t="s">
        <v>103</v>
      </c>
      <c r="F532" s="20">
        <v>1</v>
      </c>
      <c r="G532" s="20">
        <v>1</v>
      </c>
      <c r="H532" s="20">
        <f t="shared" si="24"/>
        <v>0</v>
      </c>
      <c r="I532" s="20">
        <f t="shared" si="25"/>
        <v>0</v>
      </c>
      <c r="J532" s="21">
        <f t="shared" si="26"/>
        <v>0</v>
      </c>
      <c r="K532" s="22">
        <v>27.8</v>
      </c>
      <c r="L532" s="23">
        <v>0.33400000000000002</v>
      </c>
      <c r="M532" s="21">
        <v>0.98799999999999999</v>
      </c>
      <c r="N532" s="19" t="str">
        <f>IF(G532&gt;='Resumen Ejecutivo'!$C$8, "CRÍTICA", IF(G532&gt;='Resumen Ejecutivo'!$C$7, "TEMPRANA", "NORMAL"))</f>
        <v>NORMAL</v>
      </c>
    </row>
    <row r="533" spans="2:14" x14ac:dyDescent="0.25">
      <c r="B533" s="14">
        <v>529</v>
      </c>
      <c r="C533" s="14" t="s">
        <v>130</v>
      </c>
      <c r="D533" s="14" t="s">
        <v>131</v>
      </c>
      <c r="E533" s="14" t="s">
        <v>104</v>
      </c>
      <c r="F533" s="15">
        <v>2</v>
      </c>
      <c r="G533" s="15">
        <v>1</v>
      </c>
      <c r="H533" s="15">
        <f t="shared" si="24"/>
        <v>1</v>
      </c>
      <c r="I533" s="15">
        <f t="shared" si="25"/>
        <v>1</v>
      </c>
      <c r="J533" s="16">
        <f t="shared" si="26"/>
        <v>0.5</v>
      </c>
      <c r="K533" s="17">
        <v>27.9</v>
      </c>
      <c r="L533" s="18">
        <v>0.34799999999999998</v>
      </c>
      <c r="M533" s="16">
        <v>0.98199999999999998</v>
      </c>
      <c r="N533" s="14" t="str">
        <f>IF(G533&gt;='Resumen Ejecutivo'!$C$8, "CRÍTICA", IF(G533&gt;='Resumen Ejecutivo'!$C$7, "TEMPRANA", "NORMAL"))</f>
        <v>NORMAL</v>
      </c>
    </row>
    <row r="534" spans="2:14" x14ac:dyDescent="0.25">
      <c r="B534" s="19">
        <v>530</v>
      </c>
      <c r="C534" s="19" t="s">
        <v>130</v>
      </c>
      <c r="D534" s="19" t="s">
        <v>131</v>
      </c>
      <c r="E534" s="19" t="s">
        <v>105</v>
      </c>
      <c r="F534" s="20">
        <v>2</v>
      </c>
      <c r="G534" s="20">
        <v>2</v>
      </c>
      <c r="H534" s="20">
        <f t="shared" si="24"/>
        <v>0</v>
      </c>
      <c r="I534" s="20">
        <f t="shared" si="25"/>
        <v>0</v>
      </c>
      <c r="J534" s="21">
        <f t="shared" si="26"/>
        <v>0</v>
      </c>
      <c r="K534" s="22">
        <v>26.9</v>
      </c>
      <c r="L534" s="23">
        <v>0.379</v>
      </c>
      <c r="M534" s="21">
        <v>0.98399999999999999</v>
      </c>
      <c r="N534" s="19" t="str">
        <f>IF(G534&gt;='Resumen Ejecutivo'!$C$8, "CRÍTICA", IF(G534&gt;='Resumen Ejecutivo'!$C$7, "TEMPRANA", "NORMAL"))</f>
        <v>NORMAL</v>
      </c>
    </row>
    <row r="535" spans="2:14" x14ac:dyDescent="0.25">
      <c r="B535" s="14">
        <v>531</v>
      </c>
      <c r="C535" s="14" t="s">
        <v>130</v>
      </c>
      <c r="D535" s="14" t="s">
        <v>131</v>
      </c>
      <c r="E535" s="14" t="s">
        <v>106</v>
      </c>
      <c r="F535" s="15">
        <v>2</v>
      </c>
      <c r="G535" s="15">
        <v>2</v>
      </c>
      <c r="H535" s="15">
        <f t="shared" si="24"/>
        <v>0</v>
      </c>
      <c r="I535" s="15">
        <f t="shared" si="25"/>
        <v>0</v>
      </c>
      <c r="J535" s="16">
        <f t="shared" si="26"/>
        <v>0</v>
      </c>
      <c r="K535" s="17">
        <v>27.4</v>
      </c>
      <c r="L535" s="18">
        <v>0.36799999999999999</v>
      </c>
      <c r="M535" s="16">
        <v>0.998</v>
      </c>
      <c r="N535" s="14" t="str">
        <f>IF(G535&gt;='Resumen Ejecutivo'!$C$8, "CRÍTICA", IF(G535&gt;='Resumen Ejecutivo'!$C$7, "TEMPRANA", "NORMAL"))</f>
        <v>NORMAL</v>
      </c>
    </row>
    <row r="536" spans="2:14" x14ac:dyDescent="0.25">
      <c r="B536" s="19">
        <v>532</v>
      </c>
      <c r="C536" s="19" t="s">
        <v>130</v>
      </c>
      <c r="D536" s="19" t="s">
        <v>131</v>
      </c>
      <c r="E536" s="19" t="s">
        <v>107</v>
      </c>
      <c r="F536" s="20">
        <v>0</v>
      </c>
      <c r="G536" s="20">
        <v>0</v>
      </c>
      <c r="H536" s="20">
        <f t="shared" si="24"/>
        <v>0</v>
      </c>
      <c r="I536" s="20">
        <f t="shared" si="25"/>
        <v>0</v>
      </c>
      <c r="J536" s="21">
        <f t="shared" si="26"/>
        <v>0</v>
      </c>
      <c r="K536" s="22">
        <v>27.5</v>
      </c>
      <c r="L536" s="23">
        <v>0.33100000000000002</v>
      </c>
      <c r="M536" s="21">
        <v>0.96299999999999997</v>
      </c>
      <c r="N536" s="19" t="str">
        <f>IF(G536&gt;='Resumen Ejecutivo'!$C$8, "CRÍTICA", IF(G536&gt;='Resumen Ejecutivo'!$C$7, "TEMPRANA", "NORMAL"))</f>
        <v>NORMAL</v>
      </c>
    </row>
    <row r="537" spans="2:14" x14ac:dyDescent="0.25">
      <c r="B537" s="14">
        <v>533</v>
      </c>
      <c r="C537" s="14" t="s">
        <v>130</v>
      </c>
      <c r="D537" s="14" t="s">
        <v>131</v>
      </c>
      <c r="E537" s="14" t="s">
        <v>108</v>
      </c>
      <c r="F537" s="15">
        <v>1</v>
      </c>
      <c r="G537" s="15">
        <v>1</v>
      </c>
      <c r="H537" s="15">
        <f t="shared" si="24"/>
        <v>0</v>
      </c>
      <c r="I537" s="15">
        <f t="shared" si="25"/>
        <v>0</v>
      </c>
      <c r="J537" s="16">
        <f t="shared" si="26"/>
        <v>0</v>
      </c>
      <c r="K537" s="17">
        <v>27.6</v>
      </c>
      <c r="L537" s="18">
        <v>0.35599999999999998</v>
      </c>
      <c r="M537" s="16">
        <v>0.97899999999999998</v>
      </c>
      <c r="N537" s="14" t="str">
        <f>IF(G537&gt;='Resumen Ejecutivo'!$C$8, "CRÍTICA", IF(G537&gt;='Resumen Ejecutivo'!$C$7, "TEMPRANA", "NORMAL"))</f>
        <v>NORMAL</v>
      </c>
    </row>
    <row r="538" spans="2:14" x14ac:dyDescent="0.25">
      <c r="B538" s="19">
        <v>534</v>
      </c>
      <c r="C538" s="19" t="s">
        <v>130</v>
      </c>
      <c r="D538" s="19" t="s">
        <v>131</v>
      </c>
      <c r="E538" s="19" t="s">
        <v>109</v>
      </c>
      <c r="F538" s="20">
        <v>2</v>
      </c>
      <c r="G538" s="20">
        <v>2</v>
      </c>
      <c r="H538" s="20">
        <f t="shared" si="24"/>
        <v>0</v>
      </c>
      <c r="I538" s="20">
        <f t="shared" si="25"/>
        <v>0</v>
      </c>
      <c r="J538" s="21">
        <f t="shared" si="26"/>
        <v>0</v>
      </c>
      <c r="K538" s="22">
        <v>27.7</v>
      </c>
      <c r="L538" s="23">
        <v>0.35199999999999998</v>
      </c>
      <c r="M538" s="21">
        <v>0.97</v>
      </c>
      <c r="N538" s="19" t="str">
        <f>IF(G538&gt;='Resumen Ejecutivo'!$C$8, "CRÍTICA", IF(G538&gt;='Resumen Ejecutivo'!$C$7, "TEMPRANA", "NORMAL"))</f>
        <v>NORMAL</v>
      </c>
    </row>
    <row r="539" spans="2:14" x14ac:dyDescent="0.25">
      <c r="B539" s="14">
        <v>535</v>
      </c>
      <c r="C539" s="14" t="s">
        <v>130</v>
      </c>
      <c r="D539" s="14" t="s">
        <v>131</v>
      </c>
      <c r="E539" s="14" t="s">
        <v>110</v>
      </c>
      <c r="F539" s="15">
        <v>3</v>
      </c>
      <c r="G539" s="15">
        <v>3</v>
      </c>
      <c r="H539" s="15">
        <f t="shared" si="24"/>
        <v>0</v>
      </c>
      <c r="I539" s="15">
        <f t="shared" si="25"/>
        <v>0</v>
      </c>
      <c r="J539" s="16">
        <f t="shared" si="26"/>
        <v>0</v>
      </c>
      <c r="K539" s="17">
        <v>28</v>
      </c>
      <c r="L539" s="18">
        <v>0.35899999999999999</v>
      </c>
      <c r="M539" s="16">
        <v>0.97499999999999998</v>
      </c>
      <c r="N539" s="14" t="str">
        <f>IF(G539&gt;='Resumen Ejecutivo'!$C$8, "CRÍTICA", IF(G539&gt;='Resumen Ejecutivo'!$C$7, "TEMPRANA", "NORMAL"))</f>
        <v>NORMAL</v>
      </c>
    </row>
    <row r="540" spans="2:14" x14ac:dyDescent="0.25">
      <c r="B540" s="19">
        <v>536</v>
      </c>
      <c r="C540" s="19" t="s">
        <v>130</v>
      </c>
      <c r="D540" s="19" t="s">
        <v>131</v>
      </c>
      <c r="E540" s="19" t="s">
        <v>111</v>
      </c>
      <c r="F540" s="20">
        <v>2</v>
      </c>
      <c r="G540" s="20">
        <v>2</v>
      </c>
      <c r="H540" s="20">
        <f t="shared" si="24"/>
        <v>0</v>
      </c>
      <c r="I540" s="20">
        <f t="shared" si="25"/>
        <v>0</v>
      </c>
      <c r="J540" s="21">
        <f t="shared" si="26"/>
        <v>0</v>
      </c>
      <c r="K540" s="22">
        <v>27.4</v>
      </c>
      <c r="L540" s="23">
        <v>0.33100000000000002</v>
      </c>
      <c r="M540" s="21">
        <v>0.95499999999999996</v>
      </c>
      <c r="N540" s="19" t="str">
        <f>IF(G540&gt;='Resumen Ejecutivo'!$C$8, "CRÍTICA", IF(G540&gt;='Resumen Ejecutivo'!$C$7, "TEMPRANA", "NORMAL"))</f>
        <v>NORMAL</v>
      </c>
    </row>
    <row r="541" spans="2:14" x14ac:dyDescent="0.25">
      <c r="B541" s="14">
        <v>537</v>
      </c>
      <c r="C541" s="14" t="s">
        <v>130</v>
      </c>
      <c r="D541" s="14" t="s">
        <v>131</v>
      </c>
      <c r="E541" s="14" t="s">
        <v>112</v>
      </c>
      <c r="F541" s="15">
        <v>1</v>
      </c>
      <c r="G541" s="15">
        <v>1</v>
      </c>
      <c r="H541" s="15">
        <f t="shared" si="24"/>
        <v>0</v>
      </c>
      <c r="I541" s="15">
        <f t="shared" si="25"/>
        <v>0</v>
      </c>
      <c r="J541" s="16">
        <f t="shared" si="26"/>
        <v>0</v>
      </c>
      <c r="K541" s="17">
        <v>27.5</v>
      </c>
      <c r="L541" s="18">
        <v>0.378</v>
      </c>
      <c r="M541" s="16">
        <v>0.95599999999999996</v>
      </c>
      <c r="N541" s="14" t="str">
        <f>IF(G541&gt;='Resumen Ejecutivo'!$C$8, "CRÍTICA", IF(G541&gt;='Resumen Ejecutivo'!$C$7, "TEMPRANA", "NORMAL"))</f>
        <v>NORMAL</v>
      </c>
    </row>
    <row r="542" spans="2:14" x14ac:dyDescent="0.25">
      <c r="B542" s="19">
        <v>538</v>
      </c>
      <c r="C542" s="19" t="s">
        <v>130</v>
      </c>
      <c r="D542" s="19" t="s">
        <v>131</v>
      </c>
      <c r="E542" s="19" t="s">
        <v>113</v>
      </c>
      <c r="F542" s="20">
        <v>1</v>
      </c>
      <c r="G542" s="20">
        <v>1</v>
      </c>
      <c r="H542" s="20">
        <f t="shared" si="24"/>
        <v>0</v>
      </c>
      <c r="I542" s="20">
        <f t="shared" si="25"/>
        <v>0</v>
      </c>
      <c r="J542" s="21">
        <f t="shared" si="26"/>
        <v>0</v>
      </c>
      <c r="K542" s="22">
        <v>28.3</v>
      </c>
      <c r="L542" s="23">
        <v>0.33700000000000002</v>
      </c>
      <c r="M542" s="21">
        <v>0.96599999999999997</v>
      </c>
      <c r="N542" s="19" t="str">
        <f>IF(G542&gt;='Resumen Ejecutivo'!$C$8, "CRÍTICA", IF(G542&gt;='Resumen Ejecutivo'!$C$7, "TEMPRANA", "NORMAL"))</f>
        <v>NORMAL</v>
      </c>
    </row>
    <row r="543" spans="2:14" x14ac:dyDescent="0.25">
      <c r="B543" s="14">
        <v>539</v>
      </c>
      <c r="C543" s="14" t="s">
        <v>130</v>
      </c>
      <c r="D543" s="14" t="s">
        <v>131</v>
      </c>
      <c r="E543" s="14" t="s">
        <v>114</v>
      </c>
      <c r="F543" s="15">
        <v>3</v>
      </c>
      <c r="G543" s="15">
        <v>3</v>
      </c>
      <c r="H543" s="15">
        <f t="shared" si="24"/>
        <v>0</v>
      </c>
      <c r="I543" s="15">
        <f t="shared" si="25"/>
        <v>0</v>
      </c>
      <c r="J543" s="16">
        <f t="shared" si="26"/>
        <v>0</v>
      </c>
      <c r="K543" s="17">
        <v>27.5</v>
      </c>
      <c r="L543" s="18">
        <v>0.34</v>
      </c>
      <c r="M543" s="16">
        <v>0.97399999999999998</v>
      </c>
      <c r="N543" s="14" t="str">
        <f>IF(G543&gt;='Resumen Ejecutivo'!$C$8, "CRÍTICA", IF(G543&gt;='Resumen Ejecutivo'!$C$7, "TEMPRANA", "NORMAL"))</f>
        <v>NORMAL</v>
      </c>
    </row>
    <row r="544" spans="2:14" x14ac:dyDescent="0.25">
      <c r="B544" s="19">
        <v>540</v>
      </c>
      <c r="C544" s="19" t="s">
        <v>130</v>
      </c>
      <c r="D544" s="19" t="s">
        <v>131</v>
      </c>
      <c r="E544" s="19" t="s">
        <v>115</v>
      </c>
      <c r="F544" s="20">
        <v>6</v>
      </c>
      <c r="G544" s="20">
        <v>6</v>
      </c>
      <c r="H544" s="20">
        <f t="shared" si="24"/>
        <v>0</v>
      </c>
      <c r="I544" s="20">
        <f t="shared" si="25"/>
        <v>0</v>
      </c>
      <c r="J544" s="21">
        <f t="shared" si="26"/>
        <v>0</v>
      </c>
      <c r="K544" s="22">
        <v>27.6</v>
      </c>
      <c r="L544" s="23">
        <v>0.35199999999999998</v>
      </c>
      <c r="M544" s="21">
        <v>0.98499999999999999</v>
      </c>
      <c r="N544" s="19" t="str">
        <f>IF(G544&gt;='Resumen Ejecutivo'!$C$8, "CRÍTICA", IF(G544&gt;='Resumen Ejecutivo'!$C$7, "TEMPRANA", "NORMAL"))</f>
        <v>NORMAL</v>
      </c>
    </row>
    <row r="545" spans="2:14" x14ac:dyDescent="0.25">
      <c r="B545" s="14">
        <v>541</v>
      </c>
      <c r="C545" s="14" t="s">
        <v>132</v>
      </c>
      <c r="D545" s="14" t="s">
        <v>133</v>
      </c>
      <c r="E545" s="14" t="s">
        <v>56</v>
      </c>
      <c r="F545" s="15">
        <v>2</v>
      </c>
      <c r="G545" s="15">
        <v>2</v>
      </c>
      <c r="H545" s="15">
        <f t="shared" si="24"/>
        <v>0</v>
      </c>
      <c r="I545" s="15">
        <f t="shared" si="25"/>
        <v>0</v>
      </c>
      <c r="J545" s="16">
        <f t="shared" si="26"/>
        <v>0</v>
      </c>
      <c r="K545" s="17">
        <v>27.3</v>
      </c>
      <c r="L545" s="18">
        <v>0.34399999999999997</v>
      </c>
      <c r="M545" s="16">
        <v>0.97699999999999998</v>
      </c>
      <c r="N545" s="14" t="str">
        <f>IF(G545&gt;='Resumen Ejecutivo'!$C$8, "CRÍTICA", IF(G545&gt;='Resumen Ejecutivo'!$C$7, "TEMPRANA", "NORMAL"))</f>
        <v>NORMAL</v>
      </c>
    </row>
    <row r="546" spans="2:14" x14ac:dyDescent="0.25">
      <c r="B546" s="19">
        <v>542</v>
      </c>
      <c r="C546" s="19" t="s">
        <v>132</v>
      </c>
      <c r="D546" s="19" t="s">
        <v>133</v>
      </c>
      <c r="E546" s="19" t="s">
        <v>57</v>
      </c>
      <c r="F546" s="20">
        <v>3</v>
      </c>
      <c r="G546" s="20">
        <v>3</v>
      </c>
      <c r="H546" s="20">
        <f t="shared" si="24"/>
        <v>0</v>
      </c>
      <c r="I546" s="20">
        <f t="shared" si="25"/>
        <v>0</v>
      </c>
      <c r="J546" s="21">
        <f t="shared" si="26"/>
        <v>0</v>
      </c>
      <c r="K546" s="22">
        <v>27.1</v>
      </c>
      <c r="L546" s="23">
        <v>0.35299999999999998</v>
      </c>
      <c r="M546" s="21">
        <v>0.98699999999999999</v>
      </c>
      <c r="N546" s="19" t="str">
        <f>IF(G546&gt;='Resumen Ejecutivo'!$C$8, "CRÍTICA", IF(G546&gt;='Resumen Ejecutivo'!$C$7, "TEMPRANA", "NORMAL"))</f>
        <v>NORMAL</v>
      </c>
    </row>
    <row r="547" spans="2:14" x14ac:dyDescent="0.25">
      <c r="B547" s="14">
        <v>543</v>
      </c>
      <c r="C547" s="14" t="s">
        <v>132</v>
      </c>
      <c r="D547" s="14" t="s">
        <v>133</v>
      </c>
      <c r="E547" s="14" t="s">
        <v>58</v>
      </c>
      <c r="F547" s="15">
        <v>3</v>
      </c>
      <c r="G547" s="15">
        <v>3</v>
      </c>
      <c r="H547" s="15">
        <f t="shared" si="24"/>
        <v>0</v>
      </c>
      <c r="I547" s="15">
        <f t="shared" si="25"/>
        <v>0</v>
      </c>
      <c r="J547" s="16">
        <f t="shared" si="26"/>
        <v>0</v>
      </c>
      <c r="K547" s="17">
        <v>28</v>
      </c>
      <c r="L547" s="18">
        <v>0.35699999999999998</v>
      </c>
      <c r="M547" s="16">
        <v>0.95599999999999996</v>
      </c>
      <c r="N547" s="14" t="str">
        <f>IF(G547&gt;='Resumen Ejecutivo'!$C$8, "CRÍTICA", IF(G547&gt;='Resumen Ejecutivo'!$C$7, "TEMPRANA", "NORMAL"))</f>
        <v>NORMAL</v>
      </c>
    </row>
    <row r="548" spans="2:14" x14ac:dyDescent="0.25">
      <c r="B548" s="19">
        <v>544</v>
      </c>
      <c r="C548" s="19" t="s">
        <v>132</v>
      </c>
      <c r="D548" s="19" t="s">
        <v>133</v>
      </c>
      <c r="E548" s="19" t="s">
        <v>59</v>
      </c>
      <c r="F548" s="20">
        <v>1</v>
      </c>
      <c r="G548" s="20">
        <v>1</v>
      </c>
      <c r="H548" s="20">
        <f t="shared" si="24"/>
        <v>0</v>
      </c>
      <c r="I548" s="20">
        <f t="shared" si="25"/>
        <v>0</v>
      </c>
      <c r="J548" s="21">
        <f t="shared" si="26"/>
        <v>0</v>
      </c>
      <c r="K548" s="22">
        <v>27</v>
      </c>
      <c r="L548" s="23">
        <v>0.36899999999999999</v>
      </c>
      <c r="M548" s="21">
        <v>0.99099999999999999</v>
      </c>
      <c r="N548" s="19" t="str">
        <f>IF(G548&gt;='Resumen Ejecutivo'!$C$8, "CRÍTICA", IF(G548&gt;='Resumen Ejecutivo'!$C$7, "TEMPRANA", "NORMAL"))</f>
        <v>NORMAL</v>
      </c>
    </row>
    <row r="549" spans="2:14" x14ac:dyDescent="0.25">
      <c r="B549" s="14">
        <v>545</v>
      </c>
      <c r="C549" s="14" t="s">
        <v>132</v>
      </c>
      <c r="D549" s="14" t="s">
        <v>133</v>
      </c>
      <c r="E549" s="14" t="s">
        <v>60</v>
      </c>
      <c r="F549" s="15">
        <v>1</v>
      </c>
      <c r="G549" s="15">
        <v>1</v>
      </c>
      <c r="H549" s="15">
        <f t="shared" si="24"/>
        <v>0</v>
      </c>
      <c r="I549" s="15">
        <f t="shared" si="25"/>
        <v>0</v>
      </c>
      <c r="J549" s="16">
        <f t="shared" si="26"/>
        <v>0</v>
      </c>
      <c r="K549" s="17">
        <v>27.4</v>
      </c>
      <c r="L549" s="18">
        <v>0.371</v>
      </c>
      <c r="M549" s="16">
        <v>0.95199999999999996</v>
      </c>
      <c r="N549" s="14" t="str">
        <f>IF(G549&gt;='Resumen Ejecutivo'!$C$8, "CRÍTICA", IF(G549&gt;='Resumen Ejecutivo'!$C$7, "TEMPRANA", "NORMAL"))</f>
        <v>NORMAL</v>
      </c>
    </row>
    <row r="550" spans="2:14" x14ac:dyDescent="0.25">
      <c r="B550" s="19">
        <v>546</v>
      </c>
      <c r="C550" s="19" t="s">
        <v>132</v>
      </c>
      <c r="D550" s="19" t="s">
        <v>133</v>
      </c>
      <c r="E550" s="19" t="s">
        <v>61</v>
      </c>
      <c r="F550" s="20">
        <v>2</v>
      </c>
      <c r="G550" s="20">
        <v>3</v>
      </c>
      <c r="H550" s="20">
        <f t="shared" si="24"/>
        <v>1</v>
      </c>
      <c r="I550" s="20">
        <f t="shared" si="25"/>
        <v>1</v>
      </c>
      <c r="J550" s="21">
        <f t="shared" si="26"/>
        <v>0.5</v>
      </c>
      <c r="K550" s="22">
        <v>28</v>
      </c>
      <c r="L550" s="23">
        <v>0.35699999999999998</v>
      </c>
      <c r="M550" s="21">
        <v>0.999</v>
      </c>
      <c r="N550" s="19" t="str">
        <f>IF(G550&gt;='Resumen Ejecutivo'!$C$8, "CRÍTICA", IF(G550&gt;='Resumen Ejecutivo'!$C$7, "TEMPRANA", "NORMAL"))</f>
        <v>NORMAL</v>
      </c>
    </row>
    <row r="551" spans="2:14" x14ac:dyDescent="0.25">
      <c r="B551" s="14">
        <v>547</v>
      </c>
      <c r="C551" s="14" t="s">
        <v>132</v>
      </c>
      <c r="D551" s="14" t="s">
        <v>133</v>
      </c>
      <c r="E551" s="14" t="s">
        <v>62</v>
      </c>
      <c r="F551" s="15">
        <v>0</v>
      </c>
      <c r="G551" s="15">
        <v>0</v>
      </c>
      <c r="H551" s="15">
        <f t="shared" si="24"/>
        <v>0</v>
      </c>
      <c r="I551" s="15">
        <f t="shared" si="25"/>
        <v>0</v>
      </c>
      <c r="J551" s="16">
        <f t="shared" si="26"/>
        <v>0</v>
      </c>
      <c r="K551" s="17">
        <v>27</v>
      </c>
      <c r="L551" s="18">
        <v>0.372</v>
      </c>
      <c r="M551" s="16">
        <v>0.98799999999999999</v>
      </c>
      <c r="N551" s="14" t="str">
        <f>IF(G551&gt;='Resumen Ejecutivo'!$C$8, "CRÍTICA", IF(G551&gt;='Resumen Ejecutivo'!$C$7, "TEMPRANA", "NORMAL"))</f>
        <v>NORMAL</v>
      </c>
    </row>
    <row r="552" spans="2:14" x14ac:dyDescent="0.25">
      <c r="B552" s="19">
        <v>548</v>
      </c>
      <c r="C552" s="19" t="s">
        <v>132</v>
      </c>
      <c r="D552" s="19" t="s">
        <v>133</v>
      </c>
      <c r="E552" s="19" t="s">
        <v>63</v>
      </c>
      <c r="F552" s="20">
        <v>0</v>
      </c>
      <c r="G552" s="20">
        <v>0</v>
      </c>
      <c r="H552" s="20">
        <f t="shared" si="24"/>
        <v>0</v>
      </c>
      <c r="I552" s="20">
        <f t="shared" si="25"/>
        <v>0</v>
      </c>
      <c r="J552" s="21">
        <f t="shared" si="26"/>
        <v>0</v>
      </c>
      <c r="K552" s="22">
        <v>27.3</v>
      </c>
      <c r="L552" s="23">
        <v>0.38</v>
      </c>
      <c r="M552" s="21">
        <v>0.97199999999999998</v>
      </c>
      <c r="N552" s="19" t="str">
        <f>IF(G552&gt;='Resumen Ejecutivo'!$C$8, "CRÍTICA", IF(G552&gt;='Resumen Ejecutivo'!$C$7, "TEMPRANA", "NORMAL"))</f>
        <v>NORMAL</v>
      </c>
    </row>
    <row r="553" spans="2:14" x14ac:dyDescent="0.25">
      <c r="B553" s="14">
        <v>549</v>
      </c>
      <c r="C553" s="14" t="s">
        <v>132</v>
      </c>
      <c r="D553" s="14" t="s">
        <v>133</v>
      </c>
      <c r="E553" s="14" t="s">
        <v>64</v>
      </c>
      <c r="F553" s="15">
        <v>2</v>
      </c>
      <c r="G553" s="15">
        <v>2</v>
      </c>
      <c r="H553" s="15">
        <f t="shared" si="24"/>
        <v>0</v>
      </c>
      <c r="I553" s="15">
        <f t="shared" si="25"/>
        <v>0</v>
      </c>
      <c r="J553" s="16">
        <f t="shared" si="26"/>
        <v>0</v>
      </c>
      <c r="K553" s="17">
        <v>27.4</v>
      </c>
      <c r="L553" s="18">
        <v>0.371</v>
      </c>
      <c r="M553" s="16">
        <v>0.97199999999999998</v>
      </c>
      <c r="N553" s="14" t="str">
        <f>IF(G553&gt;='Resumen Ejecutivo'!$C$8, "CRÍTICA", IF(G553&gt;='Resumen Ejecutivo'!$C$7, "TEMPRANA", "NORMAL"))</f>
        <v>NORMAL</v>
      </c>
    </row>
    <row r="554" spans="2:14" x14ac:dyDescent="0.25">
      <c r="B554" s="19">
        <v>550</v>
      </c>
      <c r="C554" s="19" t="s">
        <v>132</v>
      </c>
      <c r="D554" s="19" t="s">
        <v>133</v>
      </c>
      <c r="E554" s="19" t="s">
        <v>65</v>
      </c>
      <c r="F554" s="20">
        <v>0</v>
      </c>
      <c r="G554" s="20">
        <v>0</v>
      </c>
      <c r="H554" s="20">
        <f t="shared" si="24"/>
        <v>0</v>
      </c>
      <c r="I554" s="20">
        <f t="shared" si="25"/>
        <v>0</v>
      </c>
      <c r="J554" s="21">
        <f t="shared" si="26"/>
        <v>0</v>
      </c>
      <c r="K554" s="22">
        <v>28.4</v>
      </c>
      <c r="L554" s="23">
        <v>0.36899999999999999</v>
      </c>
      <c r="M554" s="21">
        <v>0.96199999999999997</v>
      </c>
      <c r="N554" s="19" t="str">
        <f>IF(G554&gt;='Resumen Ejecutivo'!$C$8, "CRÍTICA", IF(G554&gt;='Resumen Ejecutivo'!$C$7, "TEMPRANA", "NORMAL"))</f>
        <v>NORMAL</v>
      </c>
    </row>
    <row r="555" spans="2:14" x14ac:dyDescent="0.25">
      <c r="B555" s="14">
        <v>551</v>
      </c>
      <c r="C555" s="14" t="s">
        <v>132</v>
      </c>
      <c r="D555" s="14" t="s">
        <v>133</v>
      </c>
      <c r="E555" s="14" t="s">
        <v>66</v>
      </c>
      <c r="F555" s="15">
        <v>2</v>
      </c>
      <c r="G555" s="15">
        <v>2</v>
      </c>
      <c r="H555" s="15">
        <f t="shared" si="24"/>
        <v>0</v>
      </c>
      <c r="I555" s="15">
        <f t="shared" si="25"/>
        <v>0</v>
      </c>
      <c r="J555" s="16">
        <f t="shared" si="26"/>
        <v>0</v>
      </c>
      <c r="K555" s="17">
        <v>28.1</v>
      </c>
      <c r="L555" s="18">
        <v>0.35899999999999999</v>
      </c>
      <c r="M555" s="16">
        <v>0.96799999999999997</v>
      </c>
      <c r="N555" s="14" t="str">
        <f>IF(G555&gt;='Resumen Ejecutivo'!$C$8, "CRÍTICA", IF(G555&gt;='Resumen Ejecutivo'!$C$7, "TEMPRANA", "NORMAL"))</f>
        <v>NORMAL</v>
      </c>
    </row>
    <row r="556" spans="2:14" x14ac:dyDescent="0.25">
      <c r="B556" s="19">
        <v>552</v>
      </c>
      <c r="C556" s="19" t="s">
        <v>132</v>
      </c>
      <c r="D556" s="19" t="s">
        <v>133</v>
      </c>
      <c r="E556" s="19" t="s">
        <v>67</v>
      </c>
      <c r="F556" s="20">
        <v>2</v>
      </c>
      <c r="G556" s="20">
        <v>2</v>
      </c>
      <c r="H556" s="20">
        <f t="shared" si="24"/>
        <v>0</v>
      </c>
      <c r="I556" s="20">
        <f t="shared" si="25"/>
        <v>0</v>
      </c>
      <c r="J556" s="21">
        <f t="shared" si="26"/>
        <v>0</v>
      </c>
      <c r="K556" s="22">
        <v>27.9</v>
      </c>
      <c r="L556" s="23">
        <v>0.36199999999999999</v>
      </c>
      <c r="M556" s="21">
        <v>0.95799999999999996</v>
      </c>
      <c r="N556" s="19" t="str">
        <f>IF(G556&gt;='Resumen Ejecutivo'!$C$8, "CRÍTICA", IF(G556&gt;='Resumen Ejecutivo'!$C$7, "TEMPRANA", "NORMAL"))</f>
        <v>NORMAL</v>
      </c>
    </row>
    <row r="557" spans="2:14" x14ac:dyDescent="0.25">
      <c r="B557" s="14">
        <v>553</v>
      </c>
      <c r="C557" s="14" t="s">
        <v>132</v>
      </c>
      <c r="D557" s="14" t="s">
        <v>133</v>
      </c>
      <c r="E557" s="14" t="s">
        <v>68</v>
      </c>
      <c r="F557" s="15">
        <v>2</v>
      </c>
      <c r="G557" s="15">
        <v>2</v>
      </c>
      <c r="H557" s="15">
        <f t="shared" si="24"/>
        <v>0</v>
      </c>
      <c r="I557" s="15">
        <f t="shared" si="25"/>
        <v>0</v>
      </c>
      <c r="J557" s="16">
        <f t="shared" si="26"/>
        <v>0</v>
      </c>
      <c r="K557" s="17">
        <v>27</v>
      </c>
      <c r="L557" s="18">
        <v>0.34</v>
      </c>
      <c r="M557" s="16">
        <v>0.96</v>
      </c>
      <c r="N557" s="14" t="str">
        <f>IF(G557&gt;='Resumen Ejecutivo'!$C$8, "CRÍTICA", IF(G557&gt;='Resumen Ejecutivo'!$C$7, "TEMPRANA", "NORMAL"))</f>
        <v>NORMAL</v>
      </c>
    </row>
    <row r="558" spans="2:14" x14ac:dyDescent="0.25">
      <c r="B558" s="19">
        <v>554</v>
      </c>
      <c r="C558" s="19" t="s">
        <v>132</v>
      </c>
      <c r="D558" s="19" t="s">
        <v>133</v>
      </c>
      <c r="E558" s="19" t="s">
        <v>69</v>
      </c>
      <c r="F558" s="20">
        <v>1</v>
      </c>
      <c r="G558" s="20">
        <v>1</v>
      </c>
      <c r="H558" s="20">
        <f t="shared" si="24"/>
        <v>0</v>
      </c>
      <c r="I558" s="20">
        <f t="shared" si="25"/>
        <v>0</v>
      </c>
      <c r="J558" s="21">
        <f t="shared" si="26"/>
        <v>0</v>
      </c>
      <c r="K558" s="22">
        <v>26.9</v>
      </c>
      <c r="L558" s="23">
        <v>0.34799999999999998</v>
      </c>
      <c r="M558" s="21">
        <v>0.96399999999999997</v>
      </c>
      <c r="N558" s="19" t="str">
        <f>IF(G558&gt;='Resumen Ejecutivo'!$C$8, "CRÍTICA", IF(G558&gt;='Resumen Ejecutivo'!$C$7, "TEMPRANA", "NORMAL"))</f>
        <v>NORMAL</v>
      </c>
    </row>
    <row r="559" spans="2:14" x14ac:dyDescent="0.25">
      <c r="B559" s="14">
        <v>555</v>
      </c>
      <c r="C559" s="14" t="s">
        <v>132</v>
      </c>
      <c r="D559" s="14" t="s">
        <v>133</v>
      </c>
      <c r="E559" s="14" t="s">
        <v>70</v>
      </c>
      <c r="F559" s="15">
        <v>1</v>
      </c>
      <c r="G559" s="15">
        <v>1</v>
      </c>
      <c r="H559" s="15">
        <f t="shared" si="24"/>
        <v>0</v>
      </c>
      <c r="I559" s="15">
        <f t="shared" si="25"/>
        <v>0</v>
      </c>
      <c r="J559" s="16">
        <f t="shared" si="26"/>
        <v>0</v>
      </c>
      <c r="K559" s="17">
        <v>27.7</v>
      </c>
      <c r="L559" s="18">
        <v>0.34599999999999997</v>
      </c>
      <c r="M559" s="16">
        <v>0.98499999999999999</v>
      </c>
      <c r="N559" s="14" t="str">
        <f>IF(G559&gt;='Resumen Ejecutivo'!$C$8, "CRÍTICA", IF(G559&gt;='Resumen Ejecutivo'!$C$7, "TEMPRANA", "NORMAL"))</f>
        <v>NORMAL</v>
      </c>
    </row>
    <row r="560" spans="2:14" x14ac:dyDescent="0.25">
      <c r="B560" s="19">
        <v>556</v>
      </c>
      <c r="C560" s="19" t="s">
        <v>132</v>
      </c>
      <c r="D560" s="19" t="s">
        <v>133</v>
      </c>
      <c r="E560" s="19" t="s">
        <v>71</v>
      </c>
      <c r="F560" s="20">
        <v>3</v>
      </c>
      <c r="G560" s="20">
        <v>3</v>
      </c>
      <c r="H560" s="20">
        <f t="shared" si="24"/>
        <v>0</v>
      </c>
      <c r="I560" s="20">
        <f t="shared" si="25"/>
        <v>0</v>
      </c>
      <c r="J560" s="21">
        <f t="shared" si="26"/>
        <v>0</v>
      </c>
      <c r="K560" s="22">
        <v>27.3</v>
      </c>
      <c r="L560" s="23">
        <v>0.34300000000000003</v>
      </c>
      <c r="M560" s="21">
        <v>0.99299999999999999</v>
      </c>
      <c r="N560" s="19" t="str">
        <f>IF(G560&gt;='Resumen Ejecutivo'!$C$8, "CRÍTICA", IF(G560&gt;='Resumen Ejecutivo'!$C$7, "TEMPRANA", "NORMAL"))</f>
        <v>NORMAL</v>
      </c>
    </row>
    <row r="561" spans="2:14" x14ac:dyDescent="0.25">
      <c r="B561" s="14">
        <v>557</v>
      </c>
      <c r="C561" s="14" t="s">
        <v>132</v>
      </c>
      <c r="D561" s="14" t="s">
        <v>133</v>
      </c>
      <c r="E561" s="14" t="s">
        <v>72</v>
      </c>
      <c r="F561" s="15">
        <v>3</v>
      </c>
      <c r="G561" s="15">
        <v>3</v>
      </c>
      <c r="H561" s="15">
        <f t="shared" si="24"/>
        <v>0</v>
      </c>
      <c r="I561" s="15">
        <f t="shared" si="25"/>
        <v>0</v>
      </c>
      <c r="J561" s="16">
        <f t="shared" si="26"/>
        <v>0</v>
      </c>
      <c r="K561" s="17">
        <v>28.4</v>
      </c>
      <c r="L561" s="18">
        <v>0.36399999999999999</v>
      </c>
      <c r="M561" s="16">
        <v>0.95499999999999996</v>
      </c>
      <c r="N561" s="14" t="str">
        <f>IF(G561&gt;='Resumen Ejecutivo'!$C$8, "CRÍTICA", IF(G561&gt;='Resumen Ejecutivo'!$C$7, "TEMPRANA", "NORMAL"))</f>
        <v>NORMAL</v>
      </c>
    </row>
    <row r="562" spans="2:14" x14ac:dyDescent="0.25">
      <c r="B562" s="19">
        <v>558</v>
      </c>
      <c r="C562" s="19" t="s">
        <v>132</v>
      </c>
      <c r="D562" s="19" t="s">
        <v>133</v>
      </c>
      <c r="E562" s="19" t="s">
        <v>73</v>
      </c>
      <c r="F562" s="20">
        <v>4</v>
      </c>
      <c r="G562" s="20">
        <v>4</v>
      </c>
      <c r="H562" s="20">
        <f t="shared" si="24"/>
        <v>0</v>
      </c>
      <c r="I562" s="20">
        <f t="shared" si="25"/>
        <v>0</v>
      </c>
      <c r="J562" s="21">
        <f t="shared" si="26"/>
        <v>0</v>
      </c>
      <c r="K562" s="22">
        <v>28.3</v>
      </c>
      <c r="L562" s="23">
        <v>0.36899999999999999</v>
      </c>
      <c r="M562" s="21">
        <v>0.996</v>
      </c>
      <c r="N562" s="19" t="str">
        <f>IF(G562&gt;='Resumen Ejecutivo'!$C$8, "CRÍTICA", IF(G562&gt;='Resumen Ejecutivo'!$C$7, "TEMPRANA", "NORMAL"))</f>
        <v>NORMAL</v>
      </c>
    </row>
    <row r="563" spans="2:14" x14ac:dyDescent="0.25">
      <c r="B563" s="14">
        <v>559</v>
      </c>
      <c r="C563" s="14" t="s">
        <v>132</v>
      </c>
      <c r="D563" s="14" t="s">
        <v>133</v>
      </c>
      <c r="E563" s="14" t="s">
        <v>74</v>
      </c>
      <c r="F563" s="15">
        <v>5</v>
      </c>
      <c r="G563" s="15">
        <v>5</v>
      </c>
      <c r="H563" s="15">
        <f t="shared" si="24"/>
        <v>0</v>
      </c>
      <c r="I563" s="15">
        <f t="shared" si="25"/>
        <v>0</v>
      </c>
      <c r="J563" s="16">
        <f t="shared" si="26"/>
        <v>0</v>
      </c>
      <c r="K563" s="17">
        <v>28.4</v>
      </c>
      <c r="L563" s="18">
        <v>0.373</v>
      </c>
      <c r="M563" s="16">
        <v>0.95599999999999996</v>
      </c>
      <c r="N563" s="14" t="str">
        <f>IF(G563&gt;='Resumen Ejecutivo'!$C$8, "CRÍTICA", IF(G563&gt;='Resumen Ejecutivo'!$C$7, "TEMPRANA", "NORMAL"))</f>
        <v>NORMAL</v>
      </c>
    </row>
    <row r="564" spans="2:14" x14ac:dyDescent="0.25">
      <c r="B564" s="19">
        <v>560</v>
      </c>
      <c r="C564" s="19" t="s">
        <v>132</v>
      </c>
      <c r="D564" s="19" t="s">
        <v>133</v>
      </c>
      <c r="E564" s="19" t="s">
        <v>75</v>
      </c>
      <c r="F564" s="20">
        <v>2</v>
      </c>
      <c r="G564" s="20">
        <v>2</v>
      </c>
      <c r="H564" s="20">
        <f t="shared" si="24"/>
        <v>0</v>
      </c>
      <c r="I564" s="20">
        <f t="shared" si="25"/>
        <v>0</v>
      </c>
      <c r="J564" s="21">
        <f t="shared" si="26"/>
        <v>0</v>
      </c>
      <c r="K564" s="22">
        <v>28.2</v>
      </c>
      <c r="L564" s="23">
        <v>0.34200000000000003</v>
      </c>
      <c r="M564" s="21">
        <v>0.98599999999999999</v>
      </c>
      <c r="N564" s="19" t="str">
        <f>IF(G564&gt;='Resumen Ejecutivo'!$C$8, "CRÍTICA", IF(G564&gt;='Resumen Ejecutivo'!$C$7, "TEMPRANA", "NORMAL"))</f>
        <v>NORMAL</v>
      </c>
    </row>
    <row r="565" spans="2:14" x14ac:dyDescent="0.25">
      <c r="B565" s="14">
        <v>561</v>
      </c>
      <c r="C565" s="14" t="s">
        <v>132</v>
      </c>
      <c r="D565" s="14" t="s">
        <v>133</v>
      </c>
      <c r="E565" s="14" t="s">
        <v>76</v>
      </c>
      <c r="F565" s="15">
        <v>2</v>
      </c>
      <c r="G565" s="15">
        <v>2</v>
      </c>
      <c r="H565" s="15">
        <f t="shared" si="24"/>
        <v>0</v>
      </c>
      <c r="I565" s="15">
        <f t="shared" si="25"/>
        <v>0</v>
      </c>
      <c r="J565" s="16">
        <f t="shared" si="26"/>
        <v>0</v>
      </c>
      <c r="K565" s="17">
        <v>28.1</v>
      </c>
      <c r="L565" s="18">
        <v>0.36799999999999999</v>
      </c>
      <c r="M565" s="16">
        <v>0.98399999999999999</v>
      </c>
      <c r="N565" s="14" t="str">
        <f>IF(G565&gt;='Resumen Ejecutivo'!$C$8, "CRÍTICA", IF(G565&gt;='Resumen Ejecutivo'!$C$7, "TEMPRANA", "NORMAL"))</f>
        <v>NORMAL</v>
      </c>
    </row>
    <row r="566" spans="2:14" x14ac:dyDescent="0.25">
      <c r="B566" s="19">
        <v>562</v>
      </c>
      <c r="C566" s="19" t="s">
        <v>132</v>
      </c>
      <c r="D566" s="19" t="s">
        <v>133</v>
      </c>
      <c r="E566" s="19" t="s">
        <v>77</v>
      </c>
      <c r="F566" s="20">
        <v>7</v>
      </c>
      <c r="G566" s="20">
        <v>7</v>
      </c>
      <c r="H566" s="20">
        <f t="shared" si="24"/>
        <v>0</v>
      </c>
      <c r="I566" s="20">
        <f t="shared" si="25"/>
        <v>0</v>
      </c>
      <c r="J566" s="21">
        <f t="shared" si="26"/>
        <v>0</v>
      </c>
      <c r="K566" s="22">
        <v>27.6</v>
      </c>
      <c r="L566" s="23">
        <v>0.35899999999999999</v>
      </c>
      <c r="M566" s="21">
        <v>0.96299999999999997</v>
      </c>
      <c r="N566" s="19" t="str">
        <f>IF(G566&gt;='Resumen Ejecutivo'!$C$8, "CRÍTICA", IF(G566&gt;='Resumen Ejecutivo'!$C$7, "TEMPRANA", "NORMAL"))</f>
        <v>NORMAL</v>
      </c>
    </row>
    <row r="567" spans="2:14" x14ac:dyDescent="0.25">
      <c r="B567" s="14">
        <v>563</v>
      </c>
      <c r="C567" s="14" t="s">
        <v>132</v>
      </c>
      <c r="D567" s="14" t="s">
        <v>133</v>
      </c>
      <c r="E567" s="14" t="s">
        <v>78</v>
      </c>
      <c r="F567" s="15">
        <v>3</v>
      </c>
      <c r="G567" s="15">
        <v>3</v>
      </c>
      <c r="H567" s="15">
        <f t="shared" si="24"/>
        <v>0</v>
      </c>
      <c r="I567" s="15">
        <f t="shared" si="25"/>
        <v>0</v>
      </c>
      <c r="J567" s="16">
        <f t="shared" si="26"/>
        <v>0</v>
      </c>
      <c r="K567" s="17">
        <v>27.5</v>
      </c>
      <c r="L567" s="18">
        <v>0.35299999999999998</v>
      </c>
      <c r="M567" s="16">
        <v>0.98199999999999998</v>
      </c>
      <c r="N567" s="14" t="str">
        <f>IF(G567&gt;='Resumen Ejecutivo'!$C$8, "CRÍTICA", IF(G567&gt;='Resumen Ejecutivo'!$C$7, "TEMPRANA", "NORMAL"))</f>
        <v>NORMAL</v>
      </c>
    </row>
    <row r="568" spans="2:14" x14ac:dyDescent="0.25">
      <c r="B568" s="19">
        <v>564</v>
      </c>
      <c r="C568" s="19" t="s">
        <v>132</v>
      </c>
      <c r="D568" s="19" t="s">
        <v>133</v>
      </c>
      <c r="E568" s="19" t="s">
        <v>79</v>
      </c>
      <c r="F568" s="20">
        <v>3</v>
      </c>
      <c r="G568" s="20">
        <v>3</v>
      </c>
      <c r="H568" s="20">
        <f t="shared" si="24"/>
        <v>0</v>
      </c>
      <c r="I568" s="20">
        <f t="shared" si="25"/>
        <v>0</v>
      </c>
      <c r="J568" s="21">
        <f t="shared" si="26"/>
        <v>0</v>
      </c>
      <c r="K568" s="22">
        <v>28.2</v>
      </c>
      <c r="L568" s="23">
        <v>0.33500000000000002</v>
      </c>
      <c r="M568" s="21">
        <v>0.97599999999999998</v>
      </c>
      <c r="N568" s="19" t="str">
        <f>IF(G568&gt;='Resumen Ejecutivo'!$C$8, "CRÍTICA", IF(G568&gt;='Resumen Ejecutivo'!$C$7, "TEMPRANA", "NORMAL"))</f>
        <v>NORMAL</v>
      </c>
    </row>
    <row r="569" spans="2:14" x14ac:dyDescent="0.25">
      <c r="B569" s="14">
        <v>565</v>
      </c>
      <c r="C569" s="14" t="s">
        <v>132</v>
      </c>
      <c r="D569" s="14" t="s">
        <v>133</v>
      </c>
      <c r="E569" s="14" t="s">
        <v>80</v>
      </c>
      <c r="F569" s="15">
        <v>4</v>
      </c>
      <c r="G569" s="15">
        <v>4</v>
      </c>
      <c r="H569" s="15">
        <f t="shared" si="24"/>
        <v>0</v>
      </c>
      <c r="I569" s="15">
        <f t="shared" si="25"/>
        <v>0</v>
      </c>
      <c r="J569" s="16">
        <f t="shared" si="26"/>
        <v>0</v>
      </c>
      <c r="K569" s="17">
        <v>27.2</v>
      </c>
      <c r="L569" s="18">
        <v>0.377</v>
      </c>
      <c r="M569" s="16">
        <v>0.96799999999999997</v>
      </c>
      <c r="N569" s="14" t="str">
        <f>IF(G569&gt;='Resumen Ejecutivo'!$C$8, "CRÍTICA", IF(G569&gt;='Resumen Ejecutivo'!$C$7, "TEMPRANA", "NORMAL"))</f>
        <v>NORMAL</v>
      </c>
    </row>
    <row r="570" spans="2:14" x14ac:dyDescent="0.25">
      <c r="B570" s="19">
        <v>566</v>
      </c>
      <c r="C570" s="19" t="s">
        <v>132</v>
      </c>
      <c r="D570" s="19" t="s">
        <v>133</v>
      </c>
      <c r="E570" s="19" t="s">
        <v>81</v>
      </c>
      <c r="F570" s="20">
        <v>4</v>
      </c>
      <c r="G570" s="20">
        <v>4</v>
      </c>
      <c r="H570" s="20">
        <f t="shared" si="24"/>
        <v>0</v>
      </c>
      <c r="I570" s="20">
        <f t="shared" si="25"/>
        <v>0</v>
      </c>
      <c r="J570" s="21">
        <f t="shared" si="26"/>
        <v>0</v>
      </c>
      <c r="K570" s="22">
        <v>28.3</v>
      </c>
      <c r="L570" s="23">
        <v>0.34599999999999997</v>
      </c>
      <c r="M570" s="21">
        <v>0.95</v>
      </c>
      <c r="N570" s="19" t="str">
        <f>IF(G570&gt;='Resumen Ejecutivo'!$C$8, "CRÍTICA", IF(G570&gt;='Resumen Ejecutivo'!$C$7, "TEMPRANA", "NORMAL"))</f>
        <v>NORMAL</v>
      </c>
    </row>
    <row r="571" spans="2:14" x14ac:dyDescent="0.25">
      <c r="B571" s="14">
        <v>567</v>
      </c>
      <c r="C571" s="14" t="s">
        <v>132</v>
      </c>
      <c r="D571" s="14" t="s">
        <v>133</v>
      </c>
      <c r="E571" s="14" t="s">
        <v>82</v>
      </c>
      <c r="F571" s="15">
        <v>4</v>
      </c>
      <c r="G571" s="15">
        <v>4</v>
      </c>
      <c r="H571" s="15">
        <f t="shared" si="24"/>
        <v>0</v>
      </c>
      <c r="I571" s="15">
        <f t="shared" si="25"/>
        <v>0</v>
      </c>
      <c r="J571" s="16">
        <f t="shared" si="26"/>
        <v>0</v>
      </c>
      <c r="K571" s="17">
        <v>28</v>
      </c>
      <c r="L571" s="18">
        <v>0.36699999999999999</v>
      </c>
      <c r="M571" s="16">
        <v>0.98699999999999999</v>
      </c>
      <c r="N571" s="14" t="str">
        <f>IF(G571&gt;='Resumen Ejecutivo'!$C$8, "CRÍTICA", IF(G571&gt;='Resumen Ejecutivo'!$C$7, "TEMPRANA", "NORMAL"))</f>
        <v>NORMAL</v>
      </c>
    </row>
    <row r="572" spans="2:14" x14ac:dyDescent="0.25">
      <c r="B572" s="19">
        <v>568</v>
      </c>
      <c r="C572" s="19" t="s">
        <v>132</v>
      </c>
      <c r="D572" s="19" t="s">
        <v>133</v>
      </c>
      <c r="E572" s="19" t="s">
        <v>83</v>
      </c>
      <c r="F572" s="20">
        <v>6</v>
      </c>
      <c r="G572" s="20">
        <v>6</v>
      </c>
      <c r="H572" s="20">
        <f t="shared" si="24"/>
        <v>0</v>
      </c>
      <c r="I572" s="20">
        <f t="shared" si="25"/>
        <v>0</v>
      </c>
      <c r="J572" s="21">
        <f t="shared" si="26"/>
        <v>0</v>
      </c>
      <c r="K572" s="22">
        <v>27.5</v>
      </c>
      <c r="L572" s="23">
        <v>0.36299999999999999</v>
      </c>
      <c r="M572" s="21">
        <v>0.96799999999999997</v>
      </c>
      <c r="N572" s="19" t="str">
        <f>IF(G572&gt;='Resumen Ejecutivo'!$C$8, "CRÍTICA", IF(G572&gt;='Resumen Ejecutivo'!$C$7, "TEMPRANA", "NORMAL"))</f>
        <v>NORMAL</v>
      </c>
    </row>
    <row r="573" spans="2:14" x14ac:dyDescent="0.25">
      <c r="B573" s="14">
        <v>569</v>
      </c>
      <c r="C573" s="14" t="s">
        <v>132</v>
      </c>
      <c r="D573" s="14" t="s">
        <v>133</v>
      </c>
      <c r="E573" s="14" t="s">
        <v>84</v>
      </c>
      <c r="F573" s="15">
        <v>2</v>
      </c>
      <c r="G573" s="15">
        <v>2</v>
      </c>
      <c r="H573" s="15">
        <f t="shared" si="24"/>
        <v>0</v>
      </c>
      <c r="I573" s="15">
        <f t="shared" si="25"/>
        <v>0</v>
      </c>
      <c r="J573" s="16">
        <f t="shared" si="26"/>
        <v>0</v>
      </c>
      <c r="K573" s="17">
        <v>26.9</v>
      </c>
      <c r="L573" s="18">
        <v>0.35699999999999998</v>
      </c>
      <c r="M573" s="16">
        <v>0.96099999999999997</v>
      </c>
      <c r="N573" s="14" t="str">
        <f>IF(G573&gt;='Resumen Ejecutivo'!$C$8, "CRÍTICA", IF(G573&gt;='Resumen Ejecutivo'!$C$7, "TEMPRANA", "NORMAL"))</f>
        <v>NORMAL</v>
      </c>
    </row>
    <row r="574" spans="2:14" x14ac:dyDescent="0.25">
      <c r="B574" s="19">
        <v>570</v>
      </c>
      <c r="C574" s="19" t="s">
        <v>132</v>
      </c>
      <c r="D574" s="19" t="s">
        <v>133</v>
      </c>
      <c r="E574" s="19" t="s">
        <v>85</v>
      </c>
      <c r="F574" s="20">
        <v>2</v>
      </c>
      <c r="G574" s="20">
        <v>2</v>
      </c>
      <c r="H574" s="20">
        <f t="shared" si="24"/>
        <v>0</v>
      </c>
      <c r="I574" s="20">
        <f t="shared" si="25"/>
        <v>0</v>
      </c>
      <c r="J574" s="21">
        <f t="shared" si="26"/>
        <v>0</v>
      </c>
      <c r="K574" s="22">
        <v>27.5</v>
      </c>
      <c r="L574" s="23">
        <v>0.34100000000000003</v>
      </c>
      <c r="M574" s="21">
        <v>0.96299999999999997</v>
      </c>
      <c r="N574" s="19" t="str">
        <f>IF(G574&gt;='Resumen Ejecutivo'!$C$8, "CRÍTICA", IF(G574&gt;='Resumen Ejecutivo'!$C$7, "TEMPRANA", "NORMAL"))</f>
        <v>NORMAL</v>
      </c>
    </row>
    <row r="575" spans="2:14" x14ac:dyDescent="0.25">
      <c r="B575" s="14">
        <v>571</v>
      </c>
      <c r="C575" s="14" t="s">
        <v>132</v>
      </c>
      <c r="D575" s="14" t="s">
        <v>133</v>
      </c>
      <c r="E575" s="14" t="s">
        <v>86</v>
      </c>
      <c r="F575" s="15">
        <v>3</v>
      </c>
      <c r="G575" s="15">
        <v>3</v>
      </c>
      <c r="H575" s="15">
        <f t="shared" si="24"/>
        <v>0</v>
      </c>
      <c r="I575" s="15">
        <f t="shared" si="25"/>
        <v>0</v>
      </c>
      <c r="J575" s="16">
        <f t="shared" si="26"/>
        <v>0</v>
      </c>
      <c r="K575" s="17">
        <v>28.1</v>
      </c>
      <c r="L575" s="18">
        <v>0.34699999999999998</v>
      </c>
      <c r="M575" s="16">
        <v>0.97899999999999998</v>
      </c>
      <c r="N575" s="14" t="str">
        <f>IF(G575&gt;='Resumen Ejecutivo'!$C$8, "CRÍTICA", IF(G575&gt;='Resumen Ejecutivo'!$C$7, "TEMPRANA", "NORMAL"))</f>
        <v>NORMAL</v>
      </c>
    </row>
    <row r="576" spans="2:14" x14ac:dyDescent="0.25">
      <c r="B576" s="19">
        <v>572</v>
      </c>
      <c r="C576" s="19" t="s">
        <v>132</v>
      </c>
      <c r="D576" s="19" t="s">
        <v>133</v>
      </c>
      <c r="E576" s="19" t="s">
        <v>87</v>
      </c>
      <c r="F576" s="20">
        <v>8</v>
      </c>
      <c r="G576" s="20">
        <v>8</v>
      </c>
      <c r="H576" s="20">
        <f t="shared" si="24"/>
        <v>0</v>
      </c>
      <c r="I576" s="20">
        <f t="shared" si="25"/>
        <v>0</v>
      </c>
      <c r="J576" s="21">
        <f t="shared" si="26"/>
        <v>0</v>
      </c>
      <c r="K576" s="22">
        <v>27.7</v>
      </c>
      <c r="L576" s="23">
        <v>0.35399999999999998</v>
      </c>
      <c r="M576" s="21">
        <v>0.96699999999999997</v>
      </c>
      <c r="N576" s="19" t="str">
        <f>IF(G576&gt;='Resumen Ejecutivo'!$C$8, "CRÍTICA", IF(G576&gt;='Resumen Ejecutivo'!$C$7, "TEMPRANA", "NORMAL"))</f>
        <v>NORMAL</v>
      </c>
    </row>
    <row r="577" spans="2:14" x14ac:dyDescent="0.25">
      <c r="B577" s="14">
        <v>573</v>
      </c>
      <c r="C577" s="14" t="s">
        <v>132</v>
      </c>
      <c r="D577" s="14" t="s">
        <v>133</v>
      </c>
      <c r="E577" s="14" t="s">
        <v>88</v>
      </c>
      <c r="F577" s="15">
        <v>9</v>
      </c>
      <c r="G577" s="15">
        <v>11</v>
      </c>
      <c r="H577" s="15">
        <f t="shared" si="24"/>
        <v>2</v>
      </c>
      <c r="I577" s="15">
        <f t="shared" si="25"/>
        <v>4</v>
      </c>
      <c r="J577" s="16">
        <f t="shared" si="26"/>
        <v>0.22222222222222221</v>
      </c>
      <c r="K577" s="17">
        <v>27.9</v>
      </c>
      <c r="L577" s="18">
        <v>0.33200000000000002</v>
      </c>
      <c r="M577" s="16">
        <v>0.95499999999999996</v>
      </c>
      <c r="N577" s="14" t="str">
        <f>IF(G577&gt;='Resumen Ejecutivo'!$C$8, "CRÍTICA", IF(G577&gt;='Resumen Ejecutivo'!$C$7, "TEMPRANA", "NORMAL"))</f>
        <v>NORMAL</v>
      </c>
    </row>
    <row r="578" spans="2:14" x14ac:dyDescent="0.25">
      <c r="B578" s="19">
        <v>574</v>
      </c>
      <c r="C578" s="19" t="s">
        <v>132</v>
      </c>
      <c r="D578" s="19" t="s">
        <v>133</v>
      </c>
      <c r="E578" s="19" t="s">
        <v>89</v>
      </c>
      <c r="F578" s="20">
        <v>5</v>
      </c>
      <c r="G578" s="20">
        <v>5</v>
      </c>
      <c r="H578" s="20">
        <f t="shared" si="24"/>
        <v>0</v>
      </c>
      <c r="I578" s="20">
        <f t="shared" si="25"/>
        <v>0</v>
      </c>
      <c r="J578" s="21">
        <f t="shared" si="26"/>
        <v>0</v>
      </c>
      <c r="K578" s="22">
        <v>28.1</v>
      </c>
      <c r="L578" s="23">
        <v>0.35299999999999998</v>
      </c>
      <c r="M578" s="21">
        <v>0.95599999999999996</v>
      </c>
      <c r="N578" s="19" t="str">
        <f>IF(G578&gt;='Resumen Ejecutivo'!$C$8, "CRÍTICA", IF(G578&gt;='Resumen Ejecutivo'!$C$7, "TEMPRANA", "NORMAL"))</f>
        <v>NORMAL</v>
      </c>
    </row>
    <row r="579" spans="2:14" x14ac:dyDescent="0.25">
      <c r="B579" s="14">
        <v>575</v>
      </c>
      <c r="C579" s="14" t="s">
        <v>132</v>
      </c>
      <c r="D579" s="14" t="s">
        <v>133</v>
      </c>
      <c r="E579" s="14" t="s">
        <v>90</v>
      </c>
      <c r="F579" s="15">
        <v>6</v>
      </c>
      <c r="G579" s="15">
        <v>6</v>
      </c>
      <c r="H579" s="15">
        <f t="shared" si="24"/>
        <v>0</v>
      </c>
      <c r="I579" s="15">
        <f t="shared" si="25"/>
        <v>0</v>
      </c>
      <c r="J579" s="16">
        <f t="shared" si="26"/>
        <v>0</v>
      </c>
      <c r="K579" s="17">
        <v>28.2</v>
      </c>
      <c r="L579" s="18">
        <v>0.35199999999999998</v>
      </c>
      <c r="M579" s="16">
        <v>0.95</v>
      </c>
      <c r="N579" s="14" t="str">
        <f>IF(G579&gt;='Resumen Ejecutivo'!$C$8, "CRÍTICA", IF(G579&gt;='Resumen Ejecutivo'!$C$7, "TEMPRANA", "NORMAL"))</f>
        <v>NORMAL</v>
      </c>
    </row>
    <row r="580" spans="2:14" x14ac:dyDescent="0.25">
      <c r="B580" s="19">
        <v>576</v>
      </c>
      <c r="C580" s="19" t="s">
        <v>132</v>
      </c>
      <c r="D580" s="19" t="s">
        <v>133</v>
      </c>
      <c r="E580" s="19" t="s">
        <v>91</v>
      </c>
      <c r="F580" s="20">
        <v>9</v>
      </c>
      <c r="G580" s="20">
        <v>9</v>
      </c>
      <c r="H580" s="20">
        <f t="shared" si="24"/>
        <v>0</v>
      </c>
      <c r="I580" s="20">
        <f t="shared" si="25"/>
        <v>0</v>
      </c>
      <c r="J580" s="21">
        <f t="shared" si="26"/>
        <v>0</v>
      </c>
      <c r="K580" s="22">
        <v>28.3</v>
      </c>
      <c r="L580" s="23">
        <v>0.34</v>
      </c>
      <c r="M580" s="21">
        <v>0.98399999999999999</v>
      </c>
      <c r="N580" s="19" t="str">
        <f>IF(G580&gt;='Resumen Ejecutivo'!$C$8, "CRÍTICA", IF(G580&gt;='Resumen Ejecutivo'!$C$7, "TEMPRANA", "NORMAL"))</f>
        <v>NORMAL</v>
      </c>
    </row>
    <row r="581" spans="2:14" x14ac:dyDescent="0.25">
      <c r="B581" s="14">
        <v>577</v>
      </c>
      <c r="C581" s="14" t="s">
        <v>132</v>
      </c>
      <c r="D581" s="14" t="s">
        <v>133</v>
      </c>
      <c r="E581" s="14" t="s">
        <v>92</v>
      </c>
      <c r="F581" s="15">
        <v>9</v>
      </c>
      <c r="G581" s="15">
        <v>9</v>
      </c>
      <c r="H581" s="15">
        <f t="shared" ref="H581:H644" si="27">ABS(G581-F581)</f>
        <v>0</v>
      </c>
      <c r="I581" s="15">
        <f t="shared" ref="I581:I604" si="28">(G581-F581)^2</f>
        <v>0</v>
      </c>
      <c r="J581" s="16">
        <f t="shared" ref="J581:J604" si="29">IFERROR(H581/F581,0)</f>
        <v>0</v>
      </c>
      <c r="K581" s="17">
        <v>27</v>
      </c>
      <c r="L581" s="18">
        <v>0.36199999999999999</v>
      </c>
      <c r="M581" s="16">
        <v>0.95799999999999996</v>
      </c>
      <c r="N581" s="14" t="str">
        <f>IF(G581&gt;='Resumen Ejecutivo'!$C$8, "CRÍTICA", IF(G581&gt;='Resumen Ejecutivo'!$C$7, "TEMPRANA", "NORMAL"))</f>
        <v>NORMAL</v>
      </c>
    </row>
    <row r="582" spans="2:14" x14ac:dyDescent="0.25">
      <c r="B582" s="19">
        <v>578</v>
      </c>
      <c r="C582" s="19" t="s">
        <v>132</v>
      </c>
      <c r="D582" s="19" t="s">
        <v>133</v>
      </c>
      <c r="E582" s="19" t="s">
        <v>93</v>
      </c>
      <c r="F582" s="20">
        <v>7</v>
      </c>
      <c r="G582" s="20">
        <v>7</v>
      </c>
      <c r="H582" s="20">
        <f t="shared" si="27"/>
        <v>0</v>
      </c>
      <c r="I582" s="20">
        <f t="shared" si="28"/>
        <v>0</v>
      </c>
      <c r="J582" s="21">
        <f t="shared" si="29"/>
        <v>0</v>
      </c>
      <c r="K582" s="22">
        <v>28.3</v>
      </c>
      <c r="L582" s="23">
        <v>0.34399999999999997</v>
      </c>
      <c r="M582" s="21">
        <v>0.98299999999999998</v>
      </c>
      <c r="N582" s="19" t="str">
        <f>IF(G582&gt;='Resumen Ejecutivo'!$C$8, "CRÍTICA", IF(G582&gt;='Resumen Ejecutivo'!$C$7, "TEMPRANA", "NORMAL"))</f>
        <v>NORMAL</v>
      </c>
    </row>
    <row r="583" spans="2:14" x14ac:dyDescent="0.25">
      <c r="B583" s="14">
        <v>579</v>
      </c>
      <c r="C583" s="14" t="s">
        <v>132</v>
      </c>
      <c r="D583" s="14" t="s">
        <v>133</v>
      </c>
      <c r="E583" s="14" t="s">
        <v>94</v>
      </c>
      <c r="F583" s="15">
        <v>6</v>
      </c>
      <c r="G583" s="15">
        <v>7</v>
      </c>
      <c r="H583" s="15">
        <f t="shared" si="27"/>
        <v>1</v>
      </c>
      <c r="I583" s="15">
        <f t="shared" si="28"/>
        <v>1</v>
      </c>
      <c r="J583" s="16">
        <f t="shared" si="29"/>
        <v>0.16666666666666666</v>
      </c>
      <c r="K583" s="17">
        <v>27.2</v>
      </c>
      <c r="L583" s="18">
        <v>0.34899999999999998</v>
      </c>
      <c r="M583" s="16">
        <v>0.995</v>
      </c>
      <c r="N583" s="14" t="str">
        <f>IF(G583&gt;='Resumen Ejecutivo'!$C$8, "CRÍTICA", IF(G583&gt;='Resumen Ejecutivo'!$C$7, "TEMPRANA", "NORMAL"))</f>
        <v>NORMAL</v>
      </c>
    </row>
    <row r="584" spans="2:14" x14ac:dyDescent="0.25">
      <c r="B584" s="19">
        <v>580</v>
      </c>
      <c r="C584" s="19" t="s">
        <v>132</v>
      </c>
      <c r="D584" s="19" t="s">
        <v>133</v>
      </c>
      <c r="E584" s="19" t="s">
        <v>95</v>
      </c>
      <c r="F584" s="20">
        <v>11</v>
      </c>
      <c r="G584" s="20">
        <v>11</v>
      </c>
      <c r="H584" s="20">
        <f t="shared" si="27"/>
        <v>0</v>
      </c>
      <c r="I584" s="20">
        <f t="shared" si="28"/>
        <v>0</v>
      </c>
      <c r="J584" s="21">
        <f t="shared" si="29"/>
        <v>0</v>
      </c>
      <c r="K584" s="22">
        <v>27.1</v>
      </c>
      <c r="L584" s="23">
        <v>0.35</v>
      </c>
      <c r="M584" s="21">
        <v>0.96499999999999997</v>
      </c>
      <c r="N584" s="19" t="str">
        <f>IF(G584&gt;='Resumen Ejecutivo'!$C$8, "CRÍTICA", IF(G584&gt;='Resumen Ejecutivo'!$C$7, "TEMPRANA", "NORMAL"))</f>
        <v>NORMAL</v>
      </c>
    </row>
    <row r="585" spans="2:14" x14ac:dyDescent="0.25">
      <c r="B585" s="14">
        <v>581</v>
      </c>
      <c r="C585" s="14" t="s">
        <v>132</v>
      </c>
      <c r="D585" s="14" t="s">
        <v>133</v>
      </c>
      <c r="E585" s="14" t="s">
        <v>96</v>
      </c>
      <c r="F585" s="15">
        <v>9</v>
      </c>
      <c r="G585" s="15">
        <v>9</v>
      </c>
      <c r="H585" s="15">
        <f t="shared" si="27"/>
        <v>0</v>
      </c>
      <c r="I585" s="15">
        <f t="shared" si="28"/>
        <v>0</v>
      </c>
      <c r="J585" s="16">
        <f t="shared" si="29"/>
        <v>0</v>
      </c>
      <c r="K585" s="17">
        <v>27.9</v>
      </c>
      <c r="L585" s="18">
        <v>0.34200000000000003</v>
      </c>
      <c r="M585" s="16">
        <v>0.98299999999999998</v>
      </c>
      <c r="N585" s="14" t="str">
        <f>IF(G585&gt;='Resumen Ejecutivo'!$C$8, "CRÍTICA", IF(G585&gt;='Resumen Ejecutivo'!$C$7, "TEMPRANA", "NORMAL"))</f>
        <v>NORMAL</v>
      </c>
    </row>
    <row r="586" spans="2:14" x14ac:dyDescent="0.25">
      <c r="B586" s="19">
        <v>582</v>
      </c>
      <c r="C586" s="19" t="s">
        <v>132</v>
      </c>
      <c r="D586" s="19" t="s">
        <v>133</v>
      </c>
      <c r="E586" s="19" t="s">
        <v>97</v>
      </c>
      <c r="F586" s="20">
        <v>6</v>
      </c>
      <c r="G586" s="20">
        <v>6</v>
      </c>
      <c r="H586" s="20">
        <f t="shared" si="27"/>
        <v>0</v>
      </c>
      <c r="I586" s="20">
        <f t="shared" si="28"/>
        <v>0</v>
      </c>
      <c r="J586" s="21">
        <f t="shared" si="29"/>
        <v>0</v>
      </c>
      <c r="K586" s="22">
        <v>27.9</v>
      </c>
      <c r="L586" s="23">
        <v>0.33</v>
      </c>
      <c r="M586" s="21">
        <v>0.97399999999999998</v>
      </c>
      <c r="N586" s="19" t="str">
        <f>IF(G586&gt;='Resumen Ejecutivo'!$C$8, "CRÍTICA", IF(G586&gt;='Resumen Ejecutivo'!$C$7, "TEMPRANA", "NORMAL"))</f>
        <v>NORMAL</v>
      </c>
    </row>
    <row r="587" spans="2:14" x14ac:dyDescent="0.25">
      <c r="B587" s="14">
        <v>583</v>
      </c>
      <c r="C587" s="14" t="s">
        <v>132</v>
      </c>
      <c r="D587" s="14" t="s">
        <v>133</v>
      </c>
      <c r="E587" s="14" t="s">
        <v>98</v>
      </c>
      <c r="F587" s="15">
        <v>4</v>
      </c>
      <c r="G587" s="15">
        <v>4</v>
      </c>
      <c r="H587" s="15">
        <f t="shared" si="27"/>
        <v>0</v>
      </c>
      <c r="I587" s="15">
        <f t="shared" si="28"/>
        <v>0</v>
      </c>
      <c r="J587" s="16">
        <f t="shared" si="29"/>
        <v>0</v>
      </c>
      <c r="K587" s="17">
        <v>27</v>
      </c>
      <c r="L587" s="18">
        <v>0.34100000000000003</v>
      </c>
      <c r="M587" s="16">
        <v>0.98399999999999999</v>
      </c>
      <c r="N587" s="14" t="str">
        <f>IF(G587&gt;='Resumen Ejecutivo'!$C$8, "CRÍTICA", IF(G587&gt;='Resumen Ejecutivo'!$C$7, "TEMPRANA", "NORMAL"))</f>
        <v>NORMAL</v>
      </c>
    </row>
    <row r="588" spans="2:14" x14ac:dyDescent="0.25">
      <c r="B588" s="19">
        <v>584</v>
      </c>
      <c r="C588" s="19" t="s">
        <v>132</v>
      </c>
      <c r="D588" s="19" t="s">
        <v>133</v>
      </c>
      <c r="E588" s="19" t="s">
        <v>99</v>
      </c>
      <c r="F588" s="20">
        <v>6</v>
      </c>
      <c r="G588" s="20">
        <v>6</v>
      </c>
      <c r="H588" s="20">
        <f t="shared" si="27"/>
        <v>0</v>
      </c>
      <c r="I588" s="20">
        <f t="shared" si="28"/>
        <v>0</v>
      </c>
      <c r="J588" s="21">
        <f t="shared" si="29"/>
        <v>0</v>
      </c>
      <c r="K588" s="22">
        <v>26.8</v>
      </c>
      <c r="L588" s="23">
        <v>0.36499999999999999</v>
      </c>
      <c r="M588" s="21">
        <v>0.99099999999999999</v>
      </c>
      <c r="N588" s="19" t="str">
        <f>IF(G588&gt;='Resumen Ejecutivo'!$C$8, "CRÍTICA", IF(G588&gt;='Resumen Ejecutivo'!$C$7, "TEMPRANA", "NORMAL"))</f>
        <v>NORMAL</v>
      </c>
    </row>
    <row r="589" spans="2:14" x14ac:dyDescent="0.25">
      <c r="B589" s="14">
        <v>585</v>
      </c>
      <c r="C589" s="14" t="s">
        <v>132</v>
      </c>
      <c r="D589" s="14" t="s">
        <v>133</v>
      </c>
      <c r="E589" s="14" t="s">
        <v>100</v>
      </c>
      <c r="F589" s="15">
        <v>6</v>
      </c>
      <c r="G589" s="15">
        <v>6</v>
      </c>
      <c r="H589" s="15">
        <f t="shared" si="27"/>
        <v>0</v>
      </c>
      <c r="I589" s="15">
        <f t="shared" si="28"/>
        <v>0</v>
      </c>
      <c r="J589" s="16">
        <f t="shared" si="29"/>
        <v>0</v>
      </c>
      <c r="K589" s="17">
        <v>28.4</v>
      </c>
      <c r="L589" s="18">
        <v>0.35099999999999998</v>
      </c>
      <c r="M589" s="16">
        <v>0.95699999999999996</v>
      </c>
      <c r="N589" s="14" t="str">
        <f>IF(G589&gt;='Resumen Ejecutivo'!$C$8, "CRÍTICA", IF(G589&gt;='Resumen Ejecutivo'!$C$7, "TEMPRANA", "NORMAL"))</f>
        <v>NORMAL</v>
      </c>
    </row>
    <row r="590" spans="2:14" x14ac:dyDescent="0.25">
      <c r="B590" s="19">
        <v>586</v>
      </c>
      <c r="C590" s="19" t="s">
        <v>132</v>
      </c>
      <c r="D590" s="19" t="s">
        <v>133</v>
      </c>
      <c r="E590" s="19" t="s">
        <v>101</v>
      </c>
      <c r="F590" s="20">
        <v>3</v>
      </c>
      <c r="G590" s="20">
        <v>3</v>
      </c>
      <c r="H590" s="20">
        <f t="shared" si="27"/>
        <v>0</v>
      </c>
      <c r="I590" s="20">
        <f t="shared" si="28"/>
        <v>0</v>
      </c>
      <c r="J590" s="21">
        <f t="shared" si="29"/>
        <v>0</v>
      </c>
      <c r="K590" s="22">
        <v>26.9</v>
      </c>
      <c r="L590" s="23">
        <v>0.34899999999999998</v>
      </c>
      <c r="M590" s="21">
        <v>0.98699999999999999</v>
      </c>
      <c r="N590" s="19" t="str">
        <f>IF(G590&gt;='Resumen Ejecutivo'!$C$8, "CRÍTICA", IF(G590&gt;='Resumen Ejecutivo'!$C$7, "TEMPRANA", "NORMAL"))</f>
        <v>NORMAL</v>
      </c>
    </row>
    <row r="591" spans="2:14" x14ac:dyDescent="0.25">
      <c r="B591" s="14">
        <v>587</v>
      </c>
      <c r="C591" s="14" t="s">
        <v>132</v>
      </c>
      <c r="D591" s="14" t="s">
        <v>133</v>
      </c>
      <c r="E591" s="14" t="s">
        <v>102</v>
      </c>
      <c r="F591" s="15">
        <v>1</v>
      </c>
      <c r="G591" s="15">
        <v>1</v>
      </c>
      <c r="H591" s="15">
        <f t="shared" si="27"/>
        <v>0</v>
      </c>
      <c r="I591" s="15">
        <f t="shared" si="28"/>
        <v>0</v>
      </c>
      <c r="J591" s="16">
        <f t="shared" si="29"/>
        <v>0</v>
      </c>
      <c r="K591" s="17">
        <v>27</v>
      </c>
      <c r="L591" s="18">
        <v>0.34599999999999997</v>
      </c>
      <c r="M591" s="16">
        <v>0.99399999999999999</v>
      </c>
      <c r="N591" s="14" t="str">
        <f>IF(G591&gt;='Resumen Ejecutivo'!$C$8, "CRÍTICA", IF(G591&gt;='Resumen Ejecutivo'!$C$7, "TEMPRANA", "NORMAL"))</f>
        <v>NORMAL</v>
      </c>
    </row>
    <row r="592" spans="2:14" x14ac:dyDescent="0.25">
      <c r="B592" s="19">
        <v>588</v>
      </c>
      <c r="C592" s="19" t="s">
        <v>132</v>
      </c>
      <c r="D592" s="19" t="s">
        <v>133</v>
      </c>
      <c r="E592" s="19" t="s">
        <v>103</v>
      </c>
      <c r="F592" s="20">
        <v>4</v>
      </c>
      <c r="G592" s="20">
        <v>4</v>
      </c>
      <c r="H592" s="20">
        <f t="shared" si="27"/>
        <v>0</v>
      </c>
      <c r="I592" s="20">
        <f t="shared" si="28"/>
        <v>0</v>
      </c>
      <c r="J592" s="21">
        <f t="shared" si="29"/>
        <v>0</v>
      </c>
      <c r="K592" s="22">
        <v>27</v>
      </c>
      <c r="L592" s="23">
        <v>0.36899999999999999</v>
      </c>
      <c r="M592" s="21">
        <v>0.98799999999999999</v>
      </c>
      <c r="N592" s="19" t="str">
        <f>IF(G592&gt;='Resumen Ejecutivo'!$C$8, "CRÍTICA", IF(G592&gt;='Resumen Ejecutivo'!$C$7, "TEMPRANA", "NORMAL"))</f>
        <v>NORMAL</v>
      </c>
    </row>
    <row r="593" spans="2:14" x14ac:dyDescent="0.25">
      <c r="B593" s="14">
        <v>589</v>
      </c>
      <c r="C593" s="14" t="s">
        <v>132</v>
      </c>
      <c r="D593" s="14" t="s">
        <v>133</v>
      </c>
      <c r="E593" s="14" t="s">
        <v>104</v>
      </c>
      <c r="F593" s="15">
        <v>1</v>
      </c>
      <c r="G593" s="15">
        <v>0</v>
      </c>
      <c r="H593" s="15">
        <f t="shared" si="27"/>
        <v>1</v>
      </c>
      <c r="I593" s="15">
        <f t="shared" si="28"/>
        <v>1</v>
      </c>
      <c r="J593" s="16">
        <f t="shared" si="29"/>
        <v>1</v>
      </c>
      <c r="K593" s="17">
        <v>27</v>
      </c>
      <c r="L593" s="18">
        <v>0.38</v>
      </c>
      <c r="M593" s="16">
        <v>0.95699999999999996</v>
      </c>
      <c r="N593" s="14" t="str">
        <f>IF(G593&gt;='Resumen Ejecutivo'!$C$8, "CRÍTICA", IF(G593&gt;='Resumen Ejecutivo'!$C$7, "TEMPRANA", "NORMAL"))</f>
        <v>NORMAL</v>
      </c>
    </row>
    <row r="594" spans="2:14" x14ac:dyDescent="0.25">
      <c r="B594" s="19">
        <v>590</v>
      </c>
      <c r="C594" s="19" t="s">
        <v>132</v>
      </c>
      <c r="D594" s="19" t="s">
        <v>133</v>
      </c>
      <c r="E594" s="19" t="s">
        <v>105</v>
      </c>
      <c r="F594" s="20">
        <v>1</v>
      </c>
      <c r="G594" s="20">
        <v>1</v>
      </c>
      <c r="H594" s="20">
        <f t="shared" si="27"/>
        <v>0</v>
      </c>
      <c r="I594" s="20">
        <f t="shared" si="28"/>
        <v>0</v>
      </c>
      <c r="J594" s="21">
        <f t="shared" si="29"/>
        <v>0</v>
      </c>
      <c r="K594" s="22">
        <v>27.6</v>
      </c>
      <c r="L594" s="23">
        <v>0.33</v>
      </c>
      <c r="M594" s="21">
        <v>0.98299999999999998</v>
      </c>
      <c r="N594" s="19" t="str">
        <f>IF(G594&gt;='Resumen Ejecutivo'!$C$8, "CRÍTICA", IF(G594&gt;='Resumen Ejecutivo'!$C$7, "TEMPRANA", "NORMAL"))</f>
        <v>NORMAL</v>
      </c>
    </row>
    <row r="595" spans="2:14" x14ac:dyDescent="0.25">
      <c r="B595" s="14">
        <v>591</v>
      </c>
      <c r="C595" s="14" t="s">
        <v>132</v>
      </c>
      <c r="D595" s="14" t="s">
        <v>133</v>
      </c>
      <c r="E595" s="14" t="s">
        <v>106</v>
      </c>
      <c r="F595" s="15">
        <v>2</v>
      </c>
      <c r="G595" s="15">
        <v>2</v>
      </c>
      <c r="H595" s="15">
        <f t="shared" si="27"/>
        <v>0</v>
      </c>
      <c r="I595" s="15">
        <f t="shared" si="28"/>
        <v>0</v>
      </c>
      <c r="J595" s="16">
        <f t="shared" si="29"/>
        <v>0</v>
      </c>
      <c r="K595" s="17">
        <v>27.5</v>
      </c>
      <c r="L595" s="18">
        <v>0.36599999999999999</v>
      </c>
      <c r="M595" s="16">
        <v>0.98099999999999998</v>
      </c>
      <c r="N595" s="14" t="str">
        <f>IF(G595&gt;='Resumen Ejecutivo'!$C$8, "CRÍTICA", IF(G595&gt;='Resumen Ejecutivo'!$C$7, "TEMPRANA", "NORMAL"))</f>
        <v>NORMAL</v>
      </c>
    </row>
    <row r="596" spans="2:14" x14ac:dyDescent="0.25">
      <c r="B596" s="19">
        <v>592</v>
      </c>
      <c r="C596" s="19" t="s">
        <v>132</v>
      </c>
      <c r="D596" s="19" t="s">
        <v>133</v>
      </c>
      <c r="E596" s="19" t="s">
        <v>107</v>
      </c>
      <c r="F596" s="20">
        <v>3</v>
      </c>
      <c r="G596" s="20">
        <v>3</v>
      </c>
      <c r="H596" s="20">
        <f t="shared" si="27"/>
        <v>0</v>
      </c>
      <c r="I596" s="20">
        <f t="shared" si="28"/>
        <v>0</v>
      </c>
      <c r="J596" s="21">
        <f t="shared" si="29"/>
        <v>0</v>
      </c>
      <c r="K596" s="22">
        <v>27</v>
      </c>
      <c r="L596" s="23">
        <v>0.35099999999999998</v>
      </c>
      <c r="M596" s="21">
        <v>0.98399999999999999</v>
      </c>
      <c r="N596" s="19" t="str">
        <f>IF(G596&gt;='Resumen Ejecutivo'!$C$8, "CRÍTICA", IF(G596&gt;='Resumen Ejecutivo'!$C$7, "TEMPRANA", "NORMAL"))</f>
        <v>NORMAL</v>
      </c>
    </row>
    <row r="597" spans="2:14" x14ac:dyDescent="0.25">
      <c r="B597" s="14">
        <v>593</v>
      </c>
      <c r="C597" s="14" t="s">
        <v>132</v>
      </c>
      <c r="D597" s="14" t="s">
        <v>133</v>
      </c>
      <c r="E597" s="14" t="s">
        <v>108</v>
      </c>
      <c r="F597" s="15">
        <v>6</v>
      </c>
      <c r="G597" s="15">
        <v>6</v>
      </c>
      <c r="H597" s="15">
        <f t="shared" si="27"/>
        <v>0</v>
      </c>
      <c r="I597" s="15">
        <f t="shared" si="28"/>
        <v>0</v>
      </c>
      <c r="J597" s="16">
        <f t="shared" si="29"/>
        <v>0</v>
      </c>
      <c r="K597" s="17">
        <v>28.2</v>
      </c>
      <c r="L597" s="18">
        <v>0.33400000000000002</v>
      </c>
      <c r="M597" s="16">
        <v>0.95499999999999996</v>
      </c>
      <c r="N597" s="14" t="str">
        <f>IF(G597&gt;='Resumen Ejecutivo'!$C$8, "CRÍTICA", IF(G597&gt;='Resumen Ejecutivo'!$C$7, "TEMPRANA", "NORMAL"))</f>
        <v>NORMAL</v>
      </c>
    </row>
    <row r="598" spans="2:14" x14ac:dyDescent="0.25">
      <c r="B598" s="19">
        <v>594</v>
      </c>
      <c r="C598" s="19" t="s">
        <v>132</v>
      </c>
      <c r="D598" s="19" t="s">
        <v>133</v>
      </c>
      <c r="E598" s="19" t="s">
        <v>109</v>
      </c>
      <c r="F598" s="20">
        <v>2</v>
      </c>
      <c r="G598" s="20">
        <v>2</v>
      </c>
      <c r="H598" s="20">
        <f t="shared" si="27"/>
        <v>0</v>
      </c>
      <c r="I598" s="20">
        <f t="shared" si="28"/>
        <v>0</v>
      </c>
      <c r="J598" s="21">
        <f t="shared" si="29"/>
        <v>0</v>
      </c>
      <c r="K598" s="22">
        <v>28</v>
      </c>
      <c r="L598" s="23">
        <v>0.35899999999999999</v>
      </c>
      <c r="M598" s="21">
        <v>0.96899999999999997</v>
      </c>
      <c r="N598" s="19" t="str">
        <f>IF(G598&gt;='Resumen Ejecutivo'!$C$8, "CRÍTICA", IF(G598&gt;='Resumen Ejecutivo'!$C$7, "TEMPRANA", "NORMAL"))</f>
        <v>NORMAL</v>
      </c>
    </row>
    <row r="599" spans="2:14" x14ac:dyDescent="0.25">
      <c r="B599" s="14">
        <v>595</v>
      </c>
      <c r="C599" s="14" t="s">
        <v>132</v>
      </c>
      <c r="D599" s="14" t="s">
        <v>133</v>
      </c>
      <c r="E599" s="14" t="s">
        <v>110</v>
      </c>
      <c r="F599" s="15">
        <v>2</v>
      </c>
      <c r="G599" s="15">
        <v>2</v>
      </c>
      <c r="H599" s="15">
        <f t="shared" si="27"/>
        <v>0</v>
      </c>
      <c r="I599" s="15">
        <f t="shared" si="28"/>
        <v>0</v>
      </c>
      <c r="J599" s="16">
        <f t="shared" si="29"/>
        <v>0</v>
      </c>
      <c r="K599" s="17">
        <v>28.3</v>
      </c>
      <c r="L599" s="18">
        <v>0.34599999999999997</v>
      </c>
      <c r="M599" s="16">
        <v>0.95699999999999996</v>
      </c>
      <c r="N599" s="14" t="str">
        <f>IF(G599&gt;='Resumen Ejecutivo'!$C$8, "CRÍTICA", IF(G599&gt;='Resumen Ejecutivo'!$C$7, "TEMPRANA", "NORMAL"))</f>
        <v>NORMAL</v>
      </c>
    </row>
    <row r="600" spans="2:14" x14ac:dyDescent="0.25">
      <c r="B600" s="19">
        <v>596</v>
      </c>
      <c r="C600" s="19" t="s">
        <v>132</v>
      </c>
      <c r="D600" s="19" t="s">
        <v>133</v>
      </c>
      <c r="E600" s="19" t="s">
        <v>111</v>
      </c>
      <c r="F600" s="20">
        <v>2</v>
      </c>
      <c r="G600" s="20">
        <v>2</v>
      </c>
      <c r="H600" s="20">
        <f t="shared" si="27"/>
        <v>0</v>
      </c>
      <c r="I600" s="20">
        <f t="shared" si="28"/>
        <v>0</v>
      </c>
      <c r="J600" s="21">
        <f t="shared" si="29"/>
        <v>0</v>
      </c>
      <c r="K600" s="22">
        <v>27.2</v>
      </c>
      <c r="L600" s="23">
        <v>0.33400000000000002</v>
      </c>
      <c r="M600" s="21">
        <v>0.97799999999999998</v>
      </c>
      <c r="N600" s="19" t="str">
        <f>IF(G600&gt;='Resumen Ejecutivo'!$C$8, "CRÍTICA", IF(G600&gt;='Resumen Ejecutivo'!$C$7, "TEMPRANA", "NORMAL"))</f>
        <v>NORMAL</v>
      </c>
    </row>
    <row r="601" spans="2:14" x14ac:dyDescent="0.25">
      <c r="B601" s="14">
        <v>597</v>
      </c>
      <c r="C601" s="14" t="s">
        <v>132</v>
      </c>
      <c r="D601" s="14" t="s">
        <v>133</v>
      </c>
      <c r="E601" s="14" t="s">
        <v>112</v>
      </c>
      <c r="F601" s="15">
        <v>1</v>
      </c>
      <c r="G601" s="15">
        <v>1</v>
      </c>
      <c r="H601" s="15">
        <f t="shared" si="27"/>
        <v>0</v>
      </c>
      <c r="I601" s="15">
        <f t="shared" si="28"/>
        <v>0</v>
      </c>
      <c r="J601" s="16">
        <f t="shared" si="29"/>
        <v>0</v>
      </c>
      <c r="K601" s="17">
        <v>27.8</v>
      </c>
      <c r="L601" s="18">
        <v>0.36</v>
      </c>
      <c r="M601" s="16">
        <v>0.98899999999999999</v>
      </c>
      <c r="N601" s="14" t="str">
        <f>IF(G601&gt;='Resumen Ejecutivo'!$C$8, "CRÍTICA", IF(G601&gt;='Resumen Ejecutivo'!$C$7, "TEMPRANA", "NORMAL"))</f>
        <v>NORMAL</v>
      </c>
    </row>
    <row r="602" spans="2:14" x14ac:dyDescent="0.25">
      <c r="B602" s="19">
        <v>598</v>
      </c>
      <c r="C602" s="19" t="s">
        <v>132</v>
      </c>
      <c r="D602" s="19" t="s">
        <v>133</v>
      </c>
      <c r="E602" s="19" t="s">
        <v>113</v>
      </c>
      <c r="F602" s="20">
        <v>2</v>
      </c>
      <c r="G602" s="20">
        <v>2</v>
      </c>
      <c r="H602" s="20">
        <f t="shared" si="27"/>
        <v>0</v>
      </c>
      <c r="I602" s="20">
        <f t="shared" si="28"/>
        <v>0</v>
      </c>
      <c r="J602" s="21">
        <f t="shared" si="29"/>
        <v>0</v>
      </c>
      <c r="K602" s="22">
        <v>27.9</v>
      </c>
      <c r="L602" s="23">
        <v>0.372</v>
      </c>
      <c r="M602" s="21">
        <v>0.98299999999999998</v>
      </c>
      <c r="N602" s="19" t="str">
        <f>IF(G602&gt;='Resumen Ejecutivo'!$C$8, "CRÍTICA", IF(G602&gt;='Resumen Ejecutivo'!$C$7, "TEMPRANA", "NORMAL"))</f>
        <v>NORMAL</v>
      </c>
    </row>
    <row r="603" spans="2:14" x14ac:dyDescent="0.25">
      <c r="B603" s="14">
        <v>599</v>
      </c>
      <c r="C603" s="14" t="s">
        <v>132</v>
      </c>
      <c r="D603" s="14" t="s">
        <v>133</v>
      </c>
      <c r="E603" s="14" t="s">
        <v>114</v>
      </c>
      <c r="F603" s="15">
        <v>4</v>
      </c>
      <c r="G603" s="15">
        <v>4</v>
      </c>
      <c r="H603" s="15">
        <f t="shared" si="27"/>
        <v>0</v>
      </c>
      <c r="I603" s="15">
        <f t="shared" si="28"/>
        <v>0</v>
      </c>
      <c r="J603" s="16">
        <f t="shared" si="29"/>
        <v>0</v>
      </c>
      <c r="K603" s="17">
        <v>27.3</v>
      </c>
      <c r="L603" s="18">
        <v>0.35599999999999998</v>
      </c>
      <c r="M603" s="16">
        <v>0.97499999999999998</v>
      </c>
      <c r="N603" s="14" t="str">
        <f>IF(G603&gt;='Resumen Ejecutivo'!$C$8, "CRÍTICA", IF(G603&gt;='Resumen Ejecutivo'!$C$7, "TEMPRANA", "NORMAL"))</f>
        <v>NORMAL</v>
      </c>
    </row>
    <row r="604" spans="2:14" x14ac:dyDescent="0.25">
      <c r="B604" s="19">
        <v>600</v>
      </c>
      <c r="C604" s="19" t="s">
        <v>132</v>
      </c>
      <c r="D604" s="19" t="s">
        <v>133</v>
      </c>
      <c r="E604" s="19" t="s">
        <v>115</v>
      </c>
      <c r="F604" s="20">
        <v>0</v>
      </c>
      <c r="G604" s="20">
        <v>0</v>
      </c>
      <c r="H604" s="20">
        <f t="shared" si="27"/>
        <v>0</v>
      </c>
      <c r="I604" s="20">
        <f t="shared" si="28"/>
        <v>0</v>
      </c>
      <c r="J604" s="21">
        <f t="shared" si="29"/>
        <v>0</v>
      </c>
      <c r="K604" s="22">
        <v>28</v>
      </c>
      <c r="L604" s="23">
        <v>0.34499999999999997</v>
      </c>
      <c r="M604" s="21">
        <v>0.95299999999999996</v>
      </c>
      <c r="N604" s="19" t="str">
        <f>IF(G604&gt;='Resumen Ejecutivo'!$C$8, "CRÍTICA", IF(G604&gt;='Resumen Ejecutivo'!$C$7, "TEMPRANA", "NORMAL"))</f>
        <v>NORMAL</v>
      </c>
    </row>
    <row r="605" spans="2:14" x14ac:dyDescent="0.25">
      <c r="B605" s="24" t="s">
        <v>134</v>
      </c>
      <c r="C605" s="25"/>
      <c r="D605" s="25"/>
      <c r="E605" s="25"/>
      <c r="F605" s="26">
        <f>SUM(F5:F604)</f>
        <v>2074</v>
      </c>
      <c r="G605" s="26">
        <f>SUM(G5:G604)</f>
        <v>2085</v>
      </c>
      <c r="H605" s="27">
        <f>AVERAGE(H5:H604)</f>
        <v>0.10833333333333334</v>
      </c>
      <c r="I605" s="25"/>
      <c r="J605" s="28">
        <f>AVERAGE(J5:J604)</f>
        <v>4.4671356421356417E-2</v>
      </c>
      <c r="K605" s="29">
        <f>AVERAGE(K5:K604)</f>
        <v>27.638999999999978</v>
      </c>
      <c r="L605" s="30">
        <f>AVERAGE(L5:L604)</f>
        <v>0.35473666666666698</v>
      </c>
      <c r="M605" s="28">
        <f>AVERAGE(M5:M604)</f>
        <v>0.97465333333333526</v>
      </c>
      <c r="N605" s="25"/>
    </row>
    <row r="607" spans="2:14" x14ac:dyDescent="0.25">
      <c r="B607" s="31" t="s">
        <v>135</v>
      </c>
    </row>
    <row r="608" spans="2:14" x14ac:dyDescent="0.25">
      <c r="B608" s="31">
        <f>COUNTA(B5:B604)</f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Ejecutivo</vt:lpstr>
      <vt:lpstr>Sábana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Rojas</cp:lastModifiedBy>
  <dcterms:created xsi:type="dcterms:W3CDTF">2026-08-24T16:55:52Z</dcterms:created>
  <dcterms:modified xsi:type="dcterms:W3CDTF">2026-08-25T02:36:08Z</dcterms:modified>
</cp:coreProperties>
</file>